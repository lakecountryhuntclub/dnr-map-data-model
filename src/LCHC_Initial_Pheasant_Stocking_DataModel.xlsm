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X:\github\lakecountryhuntclub\DNR_Map\src\"/>
    </mc:Choice>
  </mc:AlternateContent>
  <xr:revisionPtr revIDLastSave="0" documentId="8_{F250CF86-A5FD-4A7A-8293-E968A9B912ED}" xr6:coauthVersionLast="47" xr6:coauthVersionMax="47" xr10:uidLastSave="{00000000-0000-0000-0000-000000000000}"/>
  <bookViews>
    <workbookView xWindow="3075" yWindow="3075" windowWidth="21600" windowHeight="11295" tabRatio="838" activeTab="3" xr2:uid="{CCDC9314-9B31-4774-B277-4837A065AA94}"/>
  </bookViews>
  <sheets>
    <sheet name="Index" sheetId="4" r:id="rId1"/>
    <sheet name="Intro" sheetId="5" r:id="rId2"/>
    <sheet name="Reference" sheetId="7" r:id="rId3"/>
    <sheet name="Notes" sheetId="25" r:id="rId4"/>
    <sheet name="Data -&gt;" sheetId="10" r:id="rId5"/>
    <sheet name="Property" sheetId="12" r:id="rId6"/>
    <sheet name="Original -&gt;" sheetId="18" r:id="rId7"/>
    <sheet name="Sheet7" sheetId="24" r:id="rId8"/>
    <sheet name="FFLIGHT Data" sheetId="21" r:id="rId9"/>
    <sheet name="PheasantStocking Data" sheetId="22" r:id="rId10"/>
    <sheet name="FFLIGHT" sheetId="19" state="hidden" r:id="rId11"/>
    <sheet name="StockingList" sheetId="20" state="hidden" r:id="rId12"/>
    <sheet name="TEMP -&gt;" sheetId="23" state="hidden" r:id="rId13"/>
    <sheet name="County" sheetId="13" state="hidden" r:id="rId14"/>
    <sheet name="Geography" sheetId="14" state="hidden" r:id="rId15"/>
    <sheet name="Changelog" sheetId="6" state="hidden" r:id="rId16"/>
    <sheet name="Template" sheetId="11" state="hidden" r:id="rId17"/>
    <sheet name="Inputs" sheetId="8" state="hidden" r:id="rId18"/>
    <sheet name="Metadata -&gt;" sheetId="15" state="hidden" r:id="rId19"/>
    <sheet name="Data Dictionary" sheetId="16" r:id="rId20"/>
    <sheet name="Business Glossary" sheetId="17" state="hidden" r:id="rId21"/>
    <sheet name="Model -&gt;" sheetId="9" state="hidden" r:id="rId22"/>
    <sheet name="Sheet1" sheetId="1" r:id="rId23"/>
    <sheet name="Sheet2" sheetId="2" r:id="rId24"/>
    <sheet name="Sheet3" sheetId="3" r:id="rId25"/>
  </sheets>
  <definedNames>
    <definedName name="ExternalData_1" localSheetId="8" hidden="1">'FFLIGHT Data'!$B$5:$N$232</definedName>
    <definedName name="ExternalData_1" localSheetId="9" hidden="1">'PheasantStocking Data'!$B$5:$J$94</definedName>
  </definedNames>
  <calcPr calcId="191029"/>
  <pivotCaches>
    <pivotCache cacheId="0" r:id="rId2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_Stocking_e8fb796a-a383-4782-a3a1-8b0414f4bd59" name="Data_Stocking" connection="Query - Data_Stocking"/>
          <x15:modelTable id="Data_FFLIGHT_88ef6372-0fdb-4558-8aa5-06f6ce4119fb" name="Data_FFLIGHT" connection="Query - Data_FFLIGHT"/>
          <x15:modelTable id="Pheasant_Stocking_List_8a2afa0c-059e-4ff4-bf9f-75fec96bd980" name="Pheasant_Stocking_List" connection="Query - Pheasant_Stocking_List"/>
          <x15:modelTable id="PheasantStockingListSourceTemplate_6f1b1285-e5a9-4f4e-a796-4791365a6234" name="PheasantStockingListSourceTemplate" connection="Query - PheasantStockingListSourceTemplate"/>
          <x15:modelTable id="PheasantStockingList_f5b9bae9-44a4-4110-856e-5f03fed7b880" name="PheasantStockingList" connection="Query - PheasantStockingList"/>
          <x15:modelTable id="PheasantLocations_f9bf6f35-f13d-4fe1-b6e3-5d99d259f211" name="PheasantLocations" connection="Query - PheasantLocation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7" i="16" l="1"/>
  <c r="F18" i="16"/>
  <c r="F19" i="16" s="1"/>
  <c r="F20" i="16" s="1"/>
  <c r="F21" i="16" s="1"/>
  <c r="F22" i="16" s="1"/>
  <c r="F23" i="16" s="1"/>
  <c r="F24" i="16" s="1"/>
  <c r="F25" i="16" s="1"/>
  <c r="F26" i="16" s="1"/>
  <c r="F27" i="16" s="1"/>
  <c r="F28" i="16" s="1"/>
  <c r="F29" i="16" s="1"/>
  <c r="F16" i="16"/>
  <c r="Q10" i="12"/>
  <c r="P10" i="12"/>
  <c r="O10" i="12"/>
  <c r="N10" i="12"/>
  <c r="M10" i="12"/>
  <c r="L10" i="12"/>
  <c r="K10" i="12"/>
  <c r="J10" i="12"/>
  <c r="I10" i="12"/>
  <c r="H10" i="12"/>
  <c r="G10" i="12"/>
  <c r="F10" i="12"/>
  <c r="E10" i="12"/>
  <c r="D10" i="12"/>
  <c r="C10" i="12"/>
  <c r="D9" i="12"/>
  <c r="E9" i="12" s="1"/>
  <c r="F9" i="12" s="1"/>
  <c r="G9" i="12" s="1"/>
  <c r="H9" i="12" s="1"/>
  <c r="I9" i="12" s="1"/>
  <c r="J9" i="12" s="1"/>
  <c r="K9" i="12" s="1"/>
  <c r="L9" i="12" s="1"/>
  <c r="M9" i="12" s="1"/>
  <c r="N9" i="12" s="1"/>
  <c r="O9" i="12" s="1"/>
  <c r="P9" i="12" s="1"/>
  <c r="Q9" i="12" s="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4" i="1"/>
  <c r="I23" i="1"/>
  <c r="I22" i="1"/>
  <c r="I21" i="1"/>
  <c r="I20" i="1"/>
  <c r="I19" i="1"/>
  <c r="I18" i="1"/>
  <c r="I17" i="1"/>
  <c r="I16" i="1"/>
  <c r="I15" i="1"/>
  <c r="I14" i="1"/>
  <c r="I13" i="1"/>
  <c r="I12" i="1"/>
  <c r="I11" i="1"/>
  <c r="I10" i="1"/>
  <c r="I9" i="1"/>
  <c r="I8" i="1"/>
  <c r="I7" i="1"/>
  <c r="I6" i="1"/>
  <c r="B7" i="1"/>
  <c r="B8" i="1" s="1"/>
  <c r="B9" i="1" s="1"/>
  <c r="B10" i="1" s="1"/>
  <c r="B11" i="1" s="1"/>
  <c r="B12" i="1" s="1"/>
  <c r="B13" i="1" s="1"/>
  <c r="B14" i="1" s="1"/>
  <c r="B15" i="1" s="1"/>
  <c r="B16" i="1" s="1"/>
  <c r="B17" i="1" s="1"/>
  <c r="B18"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2AC5686-00E5-46C5-A754-1BE96BD98348}" keepAlive="1" name="ModelConnection_ExternalData_1" description="Data Model" type="5" refreshedVersion="8" minRefreshableVersion="5" saveData="1">
    <dbPr connection="Data Model Connection" command="PheasantLocations" commandType="3"/>
    <extLst>
      <ext xmlns:x15="http://schemas.microsoft.com/office/spreadsheetml/2010/11/main" uri="{DE250136-89BD-433C-8126-D09CA5730AF9}">
        <x15:connection id="" model="1"/>
      </ext>
    </extLst>
  </connection>
  <connection id="2" xr16:uid="{38288975-D68F-4653-9DE8-DC8640F0C2A3}" keepAlive="1" name="ModelConnection_ExternalData_11" description="Data Model" type="5" refreshedVersion="8" minRefreshableVersion="5" saveData="1">
    <dbPr connection="Data Model Connection" command="PheasantStockingList" commandType="3"/>
    <extLst>
      <ext xmlns:x15="http://schemas.microsoft.com/office/spreadsheetml/2010/11/main" uri="{DE250136-89BD-433C-8126-D09CA5730AF9}">
        <x15:connection id="" model="1"/>
      </ext>
    </extLst>
  </connection>
  <connection id="3" xr16:uid="{767FC809-3415-43AE-80B4-CEE9769A1A10}" name="Query - Data_FFLIGHT" description="Connection to the 'Data_FFLIGHT' query in the workbook." type="100" refreshedVersion="8" minRefreshableVersion="5">
    <extLst>
      <ext xmlns:x15="http://schemas.microsoft.com/office/spreadsheetml/2010/11/main" uri="{DE250136-89BD-433C-8126-D09CA5730AF9}">
        <x15:connection id="6e199927-926e-4624-8d03-5d91aae6f874">
          <x15:oledbPr connection="Provider=Microsoft.Mashup.OleDb.1;Data Source=$Workbook$;Location=Data_FFLIGHT;Extended Properties=&quot;&quot;">
            <x15:dbTables>
              <x15:dbTable name="Data_FFLIGHT"/>
            </x15:dbTables>
          </x15:oledbPr>
        </x15:connection>
      </ext>
    </extLst>
  </connection>
  <connection id="4" xr16:uid="{652699C1-DDAD-4D9B-9241-03C7CE2C5503}" name="Query - Data_Stocking" description="Connection to the 'Data_Stocking' query in the workbook." type="100" refreshedVersion="8" minRefreshableVersion="5">
    <extLst>
      <ext xmlns:x15="http://schemas.microsoft.com/office/spreadsheetml/2010/11/main" uri="{DE250136-89BD-433C-8126-D09CA5730AF9}">
        <x15:connection id="444acce9-2e38-4a94-9267-2100ef3d6907">
          <x15:oledbPr connection="Provider=Microsoft.Mashup.OleDb.1;Data Source=$Workbook$;Location=Data_Stocking;Extended Properties=&quot;&quot;">
            <x15:dbTables>
              <x15:dbTable name="Data_Stocking"/>
            </x15:dbTables>
          </x15:oledbPr>
        </x15:connection>
      </ext>
    </extLst>
  </connection>
  <connection id="5" xr16:uid="{BABE64F9-E56F-42B9-8BB6-B43AE0B7FA06}" keepAlive="1" name="Query - LoadPheasantStockingSourceData" description="Connection to the 'LoadPheasantStockingSourceData' query in the workbook." type="5" refreshedVersion="0" background="1">
    <dbPr connection="Provider=Microsoft.Mashup.OleDb.1;Data Source=$Workbook$;Location=LoadPheasantStockingSourceData;Extended Properties=&quot;&quot;" command="SELECT * FROM [LoadPheasantStockingSourceData]"/>
  </connection>
  <connection id="6" xr16:uid="{F25875C5-D64A-4320-A909-4245DF5B2353}" name="Query - Pheasant_Stocking_List" description="Connection to the 'Pheasant_Stocking_List' query in the workbook." type="100" refreshedVersion="8" minRefreshableVersion="5">
    <extLst>
      <ext xmlns:x15="http://schemas.microsoft.com/office/spreadsheetml/2010/11/main" uri="{DE250136-89BD-433C-8126-D09CA5730AF9}">
        <x15:connection id="80af4d60-9bcc-4aa4-b2ae-b914d9be84a9">
          <x15:oledbPr connection="Provider=Microsoft.Mashup.OleDb.1;Data Source=$Workbook$;Location=Pheasant_Stocking_List;Extended Properties=&quot;&quot;">
            <x15:dbTables>
              <x15:dbTable name="Pheasant_Stocking_List"/>
            </x15:dbTables>
          </x15:oledbPr>
        </x15:connection>
      </ext>
    </extLst>
  </connection>
  <connection id="7" xr16:uid="{E487F0BD-5DF0-4AD1-9734-876B408EE1BA}" name="Query - PheasantLocations" description="Connection to the 'PheasantLocations' query in the workbook." type="100" refreshedVersion="8" minRefreshableVersion="5">
    <extLst>
      <ext xmlns:x15="http://schemas.microsoft.com/office/spreadsheetml/2010/11/main" uri="{DE250136-89BD-433C-8126-D09CA5730AF9}">
        <x15:connection id="7730f63d-721d-4f34-a6b6-f47952f39912"/>
      </ext>
    </extLst>
  </connection>
  <connection id="8" xr16:uid="{CB954E3C-83E0-4ADE-8336-7570425E9BE6}" name="Query - PheasantStockingList" description="Connection to the 'PheasantStockingList' query in the workbook." type="100" refreshedVersion="8" minRefreshableVersion="5">
    <extLst>
      <ext xmlns:x15="http://schemas.microsoft.com/office/spreadsheetml/2010/11/main" uri="{DE250136-89BD-433C-8126-D09CA5730AF9}">
        <x15:connection id="da2e3e1c-9ad0-4af9-bd42-aea6319c0864"/>
      </ext>
    </extLst>
  </connection>
  <connection id="9" xr16:uid="{AA26AA19-CF2D-4AAA-9AC8-BE726877949A}" keepAlive="1" name="Query - PheasantStockingListSource" description="Connection to the 'PheasantStockingListSource' query in the workbook." type="5" refreshedVersion="0" background="1">
    <dbPr connection="Provider=Microsoft.Mashup.OleDb.1;Data Source=$Workbook$;Location=PheasantStockingListSource;Extended Properties=&quot;&quot;" command="SELECT * FROM [PheasantStockingListSource]"/>
  </connection>
  <connection id="10" xr16:uid="{28E8DA8B-8DF0-40D7-96F8-A2A149338757}" name="Query - PheasantStockingListSourceTemplate" description="Connection to the 'PheasantStockingListSourceTemplate' query in the workbook." type="100" refreshedVersion="8" minRefreshableVersion="5">
    <extLst>
      <ext xmlns:x15="http://schemas.microsoft.com/office/spreadsheetml/2010/11/main" uri="{DE250136-89BD-433C-8126-D09CA5730AF9}">
        <x15:connection id="aff742fb-4ad9-4280-893f-b8c6746b1761">
          <x15:oledbPr connection="Provider=Microsoft.Mashup.OleDb.1;Data Source=$Workbook$;Location=PheasantStockingListSourceTemplate;Extended Properties=&quot;&quot;">
            <x15:dbTables>
              <x15:dbTable name="PheasantStockingListSourceTemplate"/>
            </x15:dbTables>
          </x15:oledbPr>
        </x15:connection>
      </ext>
    </extLst>
  </connection>
  <connection id="11" xr16:uid="{05BA4FC7-6576-49E2-A172-A4ABE0F1EA6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<sst xmlns="http://schemas.openxmlformats.org/spreadsheetml/2006/main" count="3264" uniqueCount="412">
  <si>
    <t>Sheet1</t>
  </si>
  <si>
    <t>Sheet1 Description...</t>
  </si>
  <si>
    <t>Order</t>
  </si>
  <si>
    <t>ID</t>
  </si>
  <si>
    <t>Property ID</t>
  </si>
  <si>
    <t>Property Name</t>
  </si>
  <si>
    <t>Stocked by DNR</t>
  </si>
  <si>
    <t>Stocked by DOC</t>
  </si>
  <si>
    <t>Stocked by Other</t>
  </si>
  <si>
    <t>HuntingAcres</t>
  </si>
  <si>
    <t>StockingLevel</t>
  </si>
  <si>
    <t>PriorStockingLevel</t>
  </si>
  <si>
    <t>Brillion Wildlife Area</t>
  </si>
  <si>
    <t>Y</t>
  </si>
  <si>
    <t>N</t>
  </si>
  <si>
    <t>MaxBirdsPerStocking</t>
  </si>
  <si>
    <t>Notes</t>
  </si>
  <si>
    <t>GeoObjectID</t>
  </si>
  <si>
    <t>Year</t>
  </si>
  <si>
    <t>AfternoonClosureArea</t>
  </si>
  <si>
    <t>HenRoosterArea</t>
  </si>
  <si>
    <t>CountyID</t>
  </si>
  <si>
    <t>LMS Local Property ID</t>
  </si>
  <si>
    <t>County</t>
  </si>
  <si>
    <t>County Name</t>
  </si>
  <si>
    <t>Name</t>
  </si>
  <si>
    <t>Acres</t>
  </si>
  <si>
    <t>ClosureArea</t>
  </si>
  <si>
    <t>StockedByDNR</t>
  </si>
  <si>
    <t>StockedByDOC</t>
  </si>
  <si>
    <t>LMSLocalID</t>
  </si>
  <si>
    <t>ADELL WILDLIFE AREA</t>
  </si>
  <si>
    <t>ALBANY WILDLIFE AREA</t>
  </si>
  <si>
    <t>ALLENTON WILDLIFE AREA</t>
  </si>
  <si>
    <t>AVON BOTTOMS WILDLIFE AREA</t>
  </si>
  <si>
    <t>BAD FISH CREEK WILDLIFE AREA</t>
  </si>
  <si>
    <t>BLACKHAWK LAKE RECREATIONAL AREA</t>
  </si>
  <si>
    <t>BORST VALLEY WILDLIFE AREA</t>
  </si>
  <si>
    <t>BRILLION WILDLIFE AREA</t>
  </si>
  <si>
    <t>BROOKLYN WILDLIFE AREA</t>
  </si>
  <si>
    <t>C.D. (BUZZ) BESADNY FISH AND WILDLIFE AREA</t>
  </si>
  <si>
    <t>DEANSVILLE WILDLIFE AREA</t>
  </si>
  <si>
    <t>DORN CREEK FISHERY AREA</t>
  </si>
  <si>
    <t>DUNNVILLE WILDLIFE AREA</t>
  </si>
  <si>
    <t>ELDORADO WILDLIFE AREA</t>
  </si>
  <si>
    <t>EVANSVILLE WILDLIFE AREA</t>
  </si>
  <si>
    <t>EXTENSIVE WL HABITAT</t>
  </si>
  <si>
    <t>FOOTVILLE WILDLIFE AREA</t>
  </si>
  <si>
    <t>FRENCH CREEK WILDLIFE AREA</t>
  </si>
  <si>
    <t>GARDNER SWAMP WILDLIFE AREA</t>
  </si>
  <si>
    <t>GLACIAL HABITAT RESTORATION</t>
  </si>
  <si>
    <t>GOOSE LAKE WILDLIFE AREA</t>
  </si>
  <si>
    <t>GRAND RIVER MARSH WILDLIFE AREA</t>
  </si>
  <si>
    <t>GRASSY LAKE WILDLIFE AREA</t>
  </si>
  <si>
    <t>GREEN BAY WEST SHORES WILDLIFE ARE</t>
  </si>
  <si>
    <t>HOLLAND WILDLIFE AREA</t>
  </si>
  <si>
    <t>HONEY CREEK WILDLIFE AREA</t>
  </si>
  <si>
    <t>HOOK LAKE/GRASS LAKE WILDLIFE AND NATURAL AREA</t>
  </si>
  <si>
    <t>HORICON WILDLIFE AREA</t>
  </si>
  <si>
    <t>JACKSON MARSH WILDLIFE AREA</t>
  </si>
  <si>
    <t>JEFFERSON MARSH STATE WILDLIFE AND NATURAL AREA</t>
  </si>
  <si>
    <t>KETTLE MORAINE STATE FOREST-NORTHERN UNIT-IANSR</t>
  </si>
  <si>
    <t>KETTLE MORAINE STATE FOREST-SOUTHERN UNIT</t>
  </si>
  <si>
    <t>KICKAPOO VALLEY RESERVE STATE NATURAL AREA</t>
  </si>
  <si>
    <t>KICKAPOO WILDLIFE AREA</t>
  </si>
  <si>
    <t>KILLSNAKE WILDLIFE AREA</t>
  </si>
  <si>
    <t>LAKE MILLS WILDLIFE AREA</t>
  </si>
  <si>
    <t>LAKES COULEE WILDLIFE AREA</t>
  </si>
  <si>
    <t>LIMA MARSH - STORRS LAKE WILDLIFE AREA</t>
  </si>
  <si>
    <t>LODI MARSH WILDLIFE AREA</t>
  </si>
  <si>
    <t>LOWER WISCONSIN STATE RIVERWAY</t>
  </si>
  <si>
    <t>MAZOMANIE WILDLIFE AREA</t>
  </si>
  <si>
    <t>MC MILLAN WILDLIFE AREA</t>
  </si>
  <si>
    <t>MUD LAKE WILDLIFE AREA-COLUMBIA</t>
  </si>
  <si>
    <t>MUD LAKE WILDLIFE AREA-DODGE</t>
  </si>
  <si>
    <t>MULLET CREEK WILDLIFE AREA</t>
  </si>
  <si>
    <t>NAVARINO WILDLIFE AREA</t>
  </si>
  <si>
    <t>NEW MUNSTER WILDLIFE AREA</t>
  </si>
  <si>
    <t>NICHOLS CREEK WILDLIFE AREA</t>
  </si>
  <si>
    <t>PARADISE MARSH WILDLIFE AREA</t>
  </si>
  <si>
    <t>PARADISE VALLEY WILDLIFE AREA</t>
  </si>
  <si>
    <t>PETER HELLAND WILDLIFE AREA</t>
  </si>
  <si>
    <t>PINE ISLAND WILDLIFE AREA</t>
  </si>
  <si>
    <t>PRINCES POINT WILDLIFE AREA</t>
  </si>
  <si>
    <t>RICHARD BONG RECREATION AREA</t>
  </si>
  <si>
    <t>ROME POND WILDLIFE AREA</t>
  </si>
  <si>
    <t>SAUK PRAIRIE RECREATION AREA</t>
  </si>
  <si>
    <t>SCATTERED WILDLIFE</t>
  </si>
  <si>
    <t>SHAW MARSH WILDLIFE AREA</t>
  </si>
  <si>
    <t>SHEBOYGAN MARSH WILDLIFE AREA</t>
  </si>
  <si>
    <t>SOUTH BEAVER CREEK WILDLIFE AREA</t>
  </si>
  <si>
    <t>STATEWIDE HABITAT AREAS</t>
  </si>
  <si>
    <t>STATEWIDE WILDLIFE HABITAT</t>
  </si>
  <si>
    <t>TAMARACK CREEK WILDLIFE AREA</t>
  </si>
  <si>
    <t>THERESA WILDLIFE AREA</t>
  </si>
  <si>
    <t>TICHIGAN WILDLIFE AREA</t>
  </si>
  <si>
    <t>TOM LAWIN WILDLIFE AREA</t>
  </si>
  <si>
    <t>TRI-CREEK WATERSHED</t>
  </si>
  <si>
    <t>VERNON WILDLIFE AREA</t>
  </si>
  <si>
    <t>WATERLOO WILDLIFE AREA</t>
  </si>
  <si>
    <t>WHITE RIVER MARSH WILDLIFE AREA</t>
  </si>
  <si>
    <t>YELLOWSTONE WILDLIFE AREA</t>
  </si>
  <si>
    <t>LOWER WOLF RIVER BOTTOMLANDS NATURAL RESOURCE AREA</t>
  </si>
  <si>
    <t>STREAM BANK PROTECTION FEE PROGRAM</t>
  </si>
  <si>
    <t>WISCONSIN WATERFOWL ASSOCIATION</t>
  </si>
  <si>
    <t>GLACIAL HABITAT RESTORATION - DODGE COUNTY PROPERTIES</t>
  </si>
  <si>
    <t>GLACIAL HABITAT RESTORATION - WINNEBAGO COUNTY PROPERTIES</t>
  </si>
  <si>
    <t>GLACIAL HABITAT RESTORATION - FOND DU LAC COUNTY PROPERTIES</t>
  </si>
  <si>
    <t>LWSR</t>
  </si>
  <si>
    <t>Lower Wisconsin State Riverway</t>
  </si>
  <si>
    <t>GHRA</t>
  </si>
  <si>
    <t>Glacial Habitat Restoration Area</t>
  </si>
  <si>
    <t>DOC</t>
  </si>
  <si>
    <t>DNR</t>
  </si>
  <si>
    <t>Deparment of Natural Resources</t>
  </si>
  <si>
    <t xml:space="preserve">Department of </t>
  </si>
  <si>
    <t>Code</t>
  </si>
  <si>
    <t>WDNR</t>
  </si>
  <si>
    <t>Wisconsin Department of Natural Resources</t>
  </si>
  <si>
    <t>Wisconsin Wildlife Federation</t>
  </si>
  <si>
    <t>DCFFGC</t>
  </si>
  <si>
    <t>Door County Fish Farm &amp; Game Club</t>
  </si>
  <si>
    <t>https://www.dcffg.org/news-events/pheasant-release</t>
  </si>
  <si>
    <t>Home Page - Wisconsin Wildlife Federation (wiwf.org)</t>
  </si>
  <si>
    <t>WIWF</t>
  </si>
  <si>
    <t>Aid | Wisconsin DNR</t>
  </si>
  <si>
    <t>Sitemap file: https://dnr.wisconsin.gov/sitemap.xml</t>
  </si>
  <si>
    <t>External Services Division | | Wisconsin DNR</t>
  </si>
  <si>
    <t>Lands | Wisconsin DNR</t>
  </si>
  <si>
    <t>Pheasant</t>
  </si>
  <si>
    <t>Zone A</t>
  </si>
  <si>
    <t>2023-wisconsin-hunting-regulations (widen.net)</t>
  </si>
  <si>
    <t>Introduction</t>
  </si>
  <si>
    <t>Introduction and Overview of this Workbook's Contents and Purpose.</t>
  </si>
  <si>
    <t>NOTES</t>
  </si>
  <si>
    <t>Source:</t>
  </si>
  <si>
    <t>Pheasant Stocking Information (wi.gov)</t>
  </si>
  <si>
    <t>OVERVIEW</t>
  </si>
  <si>
    <t>The purpose of this workbook is to formulate and consolidate data from various sources into a working data model for the 2023 Pheasant Stocking in Wisconsin.</t>
  </si>
  <si>
    <t>Reference</t>
  </si>
  <si>
    <t>References to external links, resources, tools, notes, etc.</t>
  </si>
  <si>
    <t>Changelog</t>
  </si>
  <si>
    <t>Workbook and Data Model Changelog</t>
  </si>
  <si>
    <t>Template</t>
  </si>
  <si>
    <t>Template Worksheet for a Dataset in the Data Model.</t>
  </si>
  <si>
    <t>Table Name:</t>
  </si>
  <si>
    <t>Inputs</t>
  </si>
  <si>
    <t>Inputs for the Workbook</t>
  </si>
  <si>
    <t>Property</t>
  </si>
  <si>
    <t>Properties associated with the 2023 Pheasant Stocking.</t>
  </si>
  <si>
    <t>Table Name</t>
  </si>
  <si>
    <t>Table Description</t>
  </si>
  <si>
    <t>Table Version</t>
  </si>
  <si>
    <t>Display Name</t>
  </si>
  <si>
    <t>Total Hunting Acres</t>
  </si>
  <si>
    <t>Proposed Stocking</t>
  </si>
  <si>
    <t>Previous Stocking</t>
  </si>
  <si>
    <t>Closure Restrictions</t>
  </si>
  <si>
    <t>Hen Rooster Area</t>
  </si>
  <si>
    <t>Max Birds per Stocking</t>
  </si>
  <si>
    <t>Map Visibility Flag</t>
  </si>
  <si>
    <t>property_id</t>
  </si>
  <si>
    <t>Meta</t>
  </si>
  <si>
    <t>PRIMARY KEY</t>
  </si>
  <si>
    <t>property_name</t>
  </si>
  <si>
    <t>property_code</t>
  </si>
  <si>
    <t>property_id_lms</t>
  </si>
  <si>
    <t>county</t>
  </si>
  <si>
    <t>acres</t>
  </si>
  <si>
    <t>stocked_by_dnr</t>
  </si>
  <si>
    <t>stocked_by_doc</t>
  </si>
  <si>
    <t>current_stocking_level</t>
  </si>
  <si>
    <t>prior_stocking_level</t>
  </si>
  <si>
    <t>max_birds_per_stocking</t>
  </si>
  <si>
    <t>map_visibility_flag</t>
  </si>
  <si>
    <t>closure_restrictions</t>
  </si>
  <si>
    <t>hen_rooster_area</t>
  </si>
  <si>
    <t>notes</t>
  </si>
  <si>
    <t>UNIQUE, NOT NULL</t>
  </si>
  <si>
    <t>NO</t>
  </si>
  <si>
    <t>LOWER WISCONSIN STATE RIVERWAY (AVOCA ROD)</t>
  </si>
  <si>
    <t>LOWER WISCONSIN STATE RIVERWAY (WANEK WINWARD)</t>
  </si>
  <si>
    <t>SCATTERED WILDLIFE (NEW)</t>
  </si>
  <si>
    <t>STATEWIDE WILDLIFE HABITAT (NEW)</t>
  </si>
  <si>
    <t>STREAM BANK PROTECTION FEE PROGRAM - A</t>
  </si>
  <si>
    <t>STREAM BANK PROTECTION FEE PROGRAM - B</t>
  </si>
  <si>
    <t>Alternate Property Name</t>
  </si>
  <si>
    <t>ALLENTON MARSH WILDLIFE AREA</t>
  </si>
  <si>
    <t>Washington</t>
  </si>
  <si>
    <t>Sheboygan</t>
  </si>
  <si>
    <t>Green</t>
  </si>
  <si>
    <t>Rock</t>
  </si>
  <si>
    <t>Trempealeau</t>
  </si>
  <si>
    <t>Calumet</t>
  </si>
  <si>
    <t>Dane</t>
  </si>
  <si>
    <t>Kewaunee</t>
  </si>
  <si>
    <t>Dunn</t>
  </si>
  <si>
    <t>Fond Du Lac</t>
  </si>
  <si>
    <t>Columbia</t>
  </si>
  <si>
    <t>Door</t>
  </si>
  <si>
    <t>Green Lake</t>
  </si>
  <si>
    <t>Brown</t>
  </si>
  <si>
    <t>Racine</t>
  </si>
  <si>
    <t>Dodge</t>
  </si>
  <si>
    <t>Jefferson</t>
  </si>
  <si>
    <t>Waukesha</t>
  </si>
  <si>
    <t>Vernon</t>
  </si>
  <si>
    <t>Crawford</t>
  </si>
  <si>
    <t>Marathon</t>
  </si>
  <si>
    <t>Shawano</t>
  </si>
  <si>
    <t>Kenosha</t>
  </si>
  <si>
    <t>Sauk</t>
  </si>
  <si>
    <t>Jackson</t>
  </si>
  <si>
    <t>Chippewa</t>
  </si>
  <si>
    <t>Monroe</t>
  </si>
  <si>
    <t>Oconto</t>
  </si>
  <si>
    <t>Lafayette</t>
  </si>
  <si>
    <t>BADFISH CREEK WILDLIFE AREA</t>
  </si>
  <si>
    <t>BLACKHAWK LAKE WILDLIFE AREA</t>
  </si>
  <si>
    <t>Iowa</t>
  </si>
  <si>
    <t>GLACIAL HABITAT RESTORATION AREA (DODGE)</t>
  </si>
  <si>
    <t>GLACIAL HABITAT RESTORATION AREA (WINNEBAGO)</t>
  </si>
  <si>
    <t>Winnebago</t>
  </si>
  <si>
    <t>GREEN BAY WEST SHORES WILDLIFE AREA</t>
  </si>
  <si>
    <t>AVOCA UNIT</t>
  </si>
  <si>
    <t>BEILFUSS UNIT</t>
  </si>
  <si>
    <t>RICHARD BONG STATE RECREATION AREA</t>
  </si>
  <si>
    <t>NORTHFIELD FISHERY AREA</t>
  </si>
  <si>
    <t>BLOOMFIELD WILDLIFE AREA - BREVER AND LITCHFIELD ROAD</t>
  </si>
  <si>
    <t>TROY WILDLIFE AREA - LAUDERDALE HWY A</t>
  </si>
  <si>
    <t>OCONOMOWOC FISH AND WILDLIFE HABITAT AREA</t>
  </si>
  <si>
    <t>Walworth</t>
  </si>
  <si>
    <t>FFLIGHT = EXTENSIVE WL HABITAT (10049); DATA = BLOOMFIELD (WALWORTH)</t>
  </si>
  <si>
    <t>FFLIGHT = EXTENSIVE WL HABITAT (10145); DATA = OCONOMOWOC (WAUKESHA)</t>
  </si>
  <si>
    <t>FFLIGHT = EXTENSIVE WL HABITAT (10107); DATA = TROY (WALWORTH)</t>
  </si>
  <si>
    <t>La Forge Unit</t>
  </si>
  <si>
    <t>Avoca Rod &amp; Gun Club stocks ~450 birds as part of the DOC program</t>
  </si>
  <si>
    <t>OBJECTID</t>
  </si>
  <si>
    <t>LMS_LOCAL_</t>
  </si>
  <si>
    <t>PROP_NAME</t>
  </si>
  <si>
    <t>MAP_VISIBL</t>
  </si>
  <si>
    <t>STOCKING_Y</t>
  </si>
  <si>
    <t>ACRES_SUIT</t>
  </si>
  <si>
    <t>PREVIOUS_S</t>
  </si>
  <si>
    <t>PROPOSED_S</t>
  </si>
  <si>
    <t>MAX_BIRDS_</t>
  </si>
  <si>
    <t>COMMENTS_T</t>
  </si>
  <si>
    <t>SHAPE_AREA</t>
  </si>
  <si>
    <t>SHAPE_LEN</t>
  </si>
  <si>
    <t>2023</t>
  </si>
  <si>
    <t xml:space="preserve">Acres suitable for hunting reflects approximate area in grassland, farmland, or shrubland adjacent to pheasant stocked areas &amp; reasonably likely to hold birds.	</t>
  </si>
  <si>
    <t>Many locations throughout the property are stocked by DNR, D.O.C. as well as local hunt clubs. 12 PM closure.</t>
  </si>
  <si>
    <t>Stocked with pheasants from D.O.C. (Door County Fish Farm and Game)</t>
  </si>
  <si>
    <t>Winnebago County-Warnke GHRA</t>
  </si>
  <si>
    <t>Fond du Lac GHRA (Glacial Habitat Restoration Area) properties: Spirit, Rens, Buwalda, and O'Leary.</t>
  </si>
  <si>
    <t>Dodge County GHRA properties- DeVries, Werth</t>
  </si>
  <si>
    <t>12:00 pm Closure Monday-Friday through November 3rd.</t>
  </si>
  <si>
    <t>12PM closure</t>
  </si>
  <si>
    <t>La Farge Unit</t>
  </si>
  <si>
    <t>Bell Center Unit only; no stocking in Wauzeka Unit</t>
  </si>
  <si>
    <t>Winward Square Prairie</t>
  </si>
  <si>
    <t>Wanek - LWSR</t>
  </si>
  <si>
    <t>Lower Wolf River Bottomlands Natural Resource Area</t>
  </si>
  <si>
    <t>Additional 140 birds stocked on adjacent Dane County Parks - Walking Iron Wildlife Area</t>
  </si>
  <si>
    <t>Property has 12pm Closure.</t>
  </si>
  <si>
    <t>Additional fees for hunters: Park pass (Daily or Annual), Bong Hunter Fee: $12 Daily permit; $7 Youth Permit; $5 Non-stocking days. Hunting hours: Property hunting hours are 9am - 2pm, except opening day which is per small game regulations. Daily bag lim</t>
  </si>
  <si>
    <t>Stocked with birds from D.O.C. (Door County Fish Farm and Game Club)</t>
  </si>
  <si>
    <t>Sinissippi</t>
  </si>
  <si>
    <t>Stream Bank Protection Fee Program</t>
  </si>
  <si>
    <t>Wisconsin Waterfowl Association</t>
  </si>
  <si>
    <t>Additional DOT acreage adjacent of 33 ac</t>
  </si>
  <si>
    <t>12PM Closure Area</t>
  </si>
  <si>
    <t>Hen / Rooster Area</t>
  </si>
  <si>
    <t>Acres for Hunting</t>
  </si>
  <si>
    <t>Stocking Levels</t>
  </si>
  <si>
    <t>Tri-Creek Watershed</t>
  </si>
  <si>
    <t>Yes</t>
  </si>
  <si>
    <t>No</t>
  </si>
  <si>
    <t>Theresa Wildlife Area</t>
  </si>
  <si>
    <t>Footville Wildlife Area</t>
  </si>
  <si>
    <t>Sauk Prairie Recreation Area</t>
  </si>
  <si>
    <t>Kettle Moraine State Forest-Southern Unit</t>
  </si>
  <si>
    <t>Pine Island Wildlife Area</t>
  </si>
  <si>
    <t>Vernon Wildlife Area</t>
  </si>
  <si>
    <t>Sand Creek Fishery Area-Monroe Co.</t>
  </si>
  <si>
    <t>Mullet Creek Wildlife Area</t>
  </si>
  <si>
    <t>Princes Point Wildlife Area</t>
  </si>
  <si>
    <t>Dunnville Wildlife Area</t>
  </si>
  <si>
    <t>Shaw Marsh Wildlife Area</t>
  </si>
  <si>
    <t>Rome Pond Wildlife Area</t>
  </si>
  <si>
    <t>Lakes Coulee Wildlife Area</t>
  </si>
  <si>
    <t>Cadiz Springs State Recreation Area</t>
  </si>
  <si>
    <t>Tom Lawin Wildlife Area</t>
  </si>
  <si>
    <t>Mazomanie Wildlife Area</t>
  </si>
  <si>
    <t>Troy Wildlife Area - Lauderdale Hwy A</t>
  </si>
  <si>
    <t>Brooklyn Wildlife Area</t>
  </si>
  <si>
    <t>French Creek Wildlife Area</t>
  </si>
  <si>
    <t>Statewide Wildlife Habitat - Dodge</t>
  </si>
  <si>
    <t>Brusky Wildlife Area</t>
  </si>
  <si>
    <t>C.D. (Buzz) Besadny Fish And Wildlife Area</t>
  </si>
  <si>
    <t>Gardner Swamp Wildlife Area</t>
  </si>
  <si>
    <t>Liberty Creek Wildlife Area</t>
  </si>
  <si>
    <t>Lodi Marsh Wildlife Area</t>
  </si>
  <si>
    <t>South Beaver Creek Wildlife Area</t>
  </si>
  <si>
    <t>Allenton Marsh Wildlife Area</t>
  </si>
  <si>
    <t>Grant</t>
  </si>
  <si>
    <t>Boscobel Unit</t>
  </si>
  <si>
    <t>Beilfuss Unit</t>
  </si>
  <si>
    <t>Eldorado Wildlife Area</t>
  </si>
  <si>
    <t>Avon Bottoms Wildlife Area</t>
  </si>
  <si>
    <t>Kickapoo Wildlife Area</t>
  </si>
  <si>
    <t>Nichols Creek Wildlife Area</t>
  </si>
  <si>
    <t>Adell Wildlife Area</t>
  </si>
  <si>
    <t>White River Marsh Wildlife Area</t>
  </si>
  <si>
    <t>Paradise Valley Wildlife Area</t>
  </si>
  <si>
    <t>Lima Marsh - Storrs Lake Wildlife Area</t>
  </si>
  <si>
    <t>Northfield Fishery Area</t>
  </si>
  <si>
    <t>Grand River Marsh Wildlife Area</t>
  </si>
  <si>
    <t>Killsnake Wildlife Area</t>
  </si>
  <si>
    <t>Paradise Marsh Wildlife Area</t>
  </si>
  <si>
    <t>Navarino Wildlife Area</t>
  </si>
  <si>
    <t>Goose Lake Wildlife Area</t>
  </si>
  <si>
    <t>Jackson Marsh Wildlife Area</t>
  </si>
  <si>
    <t>Kettle Moraine State Forest-Northern Unit-Iansr</t>
  </si>
  <si>
    <t>Richard Bong State Recreation Area</t>
  </si>
  <si>
    <t>2PM Closure</t>
  </si>
  <si>
    <t>Green Bay West Shores Wildlife Area</t>
  </si>
  <si>
    <t>Horicon Wildlife Area</t>
  </si>
  <si>
    <t>Deansville Wildlife Area</t>
  </si>
  <si>
    <t>Gilbert Creek Fishery Area</t>
  </si>
  <si>
    <t>Bloomfield Wildlife Area - Brever And Litchfield Road</t>
  </si>
  <si>
    <t>Hoosier Creek Habitat Area</t>
  </si>
  <si>
    <t>Kickapoo Valley Reserve State Natural Area</t>
  </si>
  <si>
    <t>Mud Lake Wildlife Area-Dodge</t>
  </si>
  <si>
    <t>Sheboygan Marsh Wildlife Area</t>
  </si>
  <si>
    <t>Yellowstone Wildlife Area</t>
  </si>
  <si>
    <t>Tamarack Creek Wildlife Area</t>
  </si>
  <si>
    <t>Mud Lake Wildlife Area-Columbia</t>
  </si>
  <si>
    <t>Jefferson Marsh State Wildlife And Natural Area</t>
  </si>
  <si>
    <t>Albany Wildlife Area</t>
  </si>
  <si>
    <t>Evansville Wildlife Area</t>
  </si>
  <si>
    <t>Lake Mills Wildlife Area</t>
  </si>
  <si>
    <t>Blackhawk Lake Wildlife Area</t>
  </si>
  <si>
    <t>Kmsu</t>
  </si>
  <si>
    <t>Hallie Marsh Wildlife Area</t>
  </si>
  <si>
    <t>Tichigan Wildlife Area</t>
  </si>
  <si>
    <t>Dorn Creek Fishery Area</t>
  </si>
  <si>
    <t>Richland</t>
  </si>
  <si>
    <t>Willow Creek Fishery Area</t>
  </si>
  <si>
    <t>Holland Wildlife Area</t>
  </si>
  <si>
    <t>Grassy Lake Wildlife Area</t>
  </si>
  <si>
    <t>Oconomowoc Fish And Wildlife Habitat Area</t>
  </si>
  <si>
    <t>Big Beaver Creek Meadow State Natural Area</t>
  </si>
  <si>
    <t>Richwood Unit</t>
  </si>
  <si>
    <t>Badfish Creek Wildlife Area</t>
  </si>
  <si>
    <t>Honey Creek Stream Bank Protection Area</t>
  </si>
  <si>
    <t>Peter Helland Wildlife Area</t>
  </si>
  <si>
    <t>Mc Millan Wildlife Area</t>
  </si>
  <si>
    <t>Borst Valley Wildlife Area</t>
  </si>
  <si>
    <t>Avoca Unit</t>
  </si>
  <si>
    <t>New Munster Wildlife Area</t>
  </si>
  <si>
    <t>Honey Creek Wildlife Area</t>
  </si>
  <si>
    <t>Waterloo Wildlife Area</t>
  </si>
  <si>
    <t>Hook Lake/Grass Lake Wildlife And Natural Area</t>
  </si>
  <si>
    <t>SHAPE</t>
  </si>
  <si>
    <t>Acres suitable for hunting reflects approximate area in grassland, farmland, or shrubland adjacent to pheasant stocked areas &amp; reasonably likely to hold birds.</t>
  </si>
  <si>
    <t>Data Dictionary</t>
  </si>
  <si>
    <t>Data Dictionary Description...</t>
  </si>
  <si>
    <t>Fields</t>
  </si>
  <si>
    <t>Tables</t>
  </si>
  <si>
    <t>Field Name</t>
  </si>
  <si>
    <t>Data Type</t>
  </si>
  <si>
    <t>INT</t>
  </si>
  <si>
    <t>VARCHAR</t>
  </si>
  <si>
    <t>Properties</t>
  </si>
  <si>
    <t>Row Labels</t>
  </si>
  <si>
    <t>Grand Total</t>
  </si>
  <si>
    <t>Notes Description...</t>
  </si>
  <si>
    <t>Data Conformance</t>
  </si>
  <si>
    <t>Goal: Conform and synthesize the data extracted from FFLIGHT with the provided property listing data from DNR.</t>
  </si>
  <si>
    <t>1)</t>
  </si>
  <si>
    <t>FFLIGHT: "EXTENSIVE WL HABITAT" Property has three separate, distinct codes which have now been mapped to individual properties per below:</t>
  </si>
  <si>
    <t>FFLIGHT</t>
  </si>
  <si>
    <t>2)</t>
  </si>
  <si>
    <t>Glacial Habitat Restoration Area - Dodge</t>
  </si>
  <si>
    <t>Glacial Habitat Restoration Area - Winnebago</t>
  </si>
  <si>
    <t>Comments</t>
  </si>
  <si>
    <t>FFLIGHT: "GLACIAL HABITAT RESTORATION" Property uses a single code (7534) for all listings, however, the comments and stocking level numbers indicate three separate actual properties that are in turn converged into two used properties</t>
  </si>
  <si>
    <t>NOTE:</t>
  </si>
  <si>
    <t>In FFLIGHT, GLACIAL HABITAT RESTORATION separates Winnebago County and Fond du Lac GHRA properties (300 and 1,200 acres, respectively) - but in Property data from DNR these are combined into a single property with 1,500 acres: "Glacial Habitat Restoration Area" in Winnebago County.</t>
  </si>
  <si>
    <t>Winnebago County-Warnke GHRA; Fond du Lac GHRA (Glacial Habitat Restoration Area) properties: Spirit, Rens, Buwalda, and O'Leary.</t>
  </si>
  <si>
    <t>3)</t>
  </si>
  <si>
    <t>FFLIGHT: "LOWER WISCONSIN STATE RIVERWAY" Property has three separate codees which have now been mapped to individual properties per below:</t>
  </si>
  <si>
    <t xml:space="preserve">In FFLIGHT, code 10389 has two separate properties with 120 and 200 acres respectively, these are labeled with comments indicating Winward Square Prairie and Wanek LWSR. </t>
  </si>
  <si>
    <t>These are to be mapped to "Richwood Unit" in Richland County once merged into a single property with 320 acres.</t>
  </si>
  <si>
    <t>Combining "Winward Square Prairie" (120 acres) and "Wanek - LWSR" (200 acres) into Richwood Unit with 320 total acres.</t>
  </si>
  <si>
    <t>4)</t>
  </si>
  <si>
    <t>Mapped "Lower Wolf River Bottomlands Natural Resource Area" to "Beilfuss Unit"</t>
  </si>
  <si>
    <t>FLIGHT: Mapped "Lower Wolf River Bottomlands Natural Resource Area" to "Beilfuss Unit"</t>
  </si>
  <si>
    <t>5)</t>
  </si>
  <si>
    <t>Missing Acres; Split out from SCATTERED WILDLIFE</t>
  </si>
  <si>
    <t>Split out from SCATTERED WILDLIFE</t>
  </si>
  <si>
    <t>FFLIGHT: "SCATTERED WILDLIFE" Property has two separate codes: 10243 and 10102 deemed to be "Hallie Marsh Wildlife Area" and "Northfield Fishery Area", respectively.</t>
  </si>
  <si>
    <t>Hallie Marsh Wildlife Area is missing acres?</t>
  </si>
  <si>
    <t>6)</t>
  </si>
  <si>
    <t>FFLIGHT: "STATEWIDE HABITAT AREAS" (10413) mapped to property "Hoosier Creek Habitat Area":</t>
  </si>
  <si>
    <t>Mapped "STATEWIDE HABITAT AREAS" to "Hoosier Creek Habitat Area"</t>
  </si>
  <si>
    <t>7)</t>
  </si>
  <si>
    <t>Stocked with birds from D.O.C. (Door County Fish Farm and Game Club); Split out from "STATEWIDE WILDLIFE HABITAT"</t>
  </si>
  <si>
    <t>FFLIGHT: "STATEWIDE WILDLIFE HABITAT" (10217 and 10301) mapped to properties: "Brusky Wildlife Area" (10217) and "Statewide Wildlife Habitat - Dodge" (10301)</t>
  </si>
  <si>
    <t>8)</t>
  </si>
  <si>
    <t>FFLIGHT: "Stream Bank Protection Program" (11423 and 11387) mapped to "Sand Creek Fishery Area-Monroe Co." and "Honey Creek Stream Bank Protection Area"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</si>
</sst>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3"/>
      <color theme="3"/>
      <name val="Calibri"/>
      <family val="2"/>
      <scheme val="minor"/>
    </font>
    <font>
      <sz val="11"/>
      <color rgb="FFFF0000"/>
      <name val="Calibri"/>
      <family val="2"/>
      <scheme val="minor"/>
    </font>
    <font>
      <b/>
      <sz val="11"/>
      <color theme="1"/>
      <name val="Calibri"/>
      <family val="2"/>
      <scheme val="minor"/>
    </font>
    <font>
      <b/>
      <sz val="14"/>
      <color theme="3" tint="-0.499984740745262"/>
      <name val="Calibri"/>
      <family val="2"/>
      <scheme val="minor"/>
    </font>
    <font>
      <i/>
      <sz val="11"/>
      <color rgb="FF7F7F7F"/>
      <name val="Calibri (Body)"/>
    </font>
    <font>
      <u/>
      <sz val="11"/>
      <color theme="10"/>
      <name val="Calibri"/>
      <family val="2"/>
      <scheme val="minor"/>
    </font>
    <font>
      <u/>
      <sz val="11"/>
      <color rgb="FF0066FF"/>
      <name val="Calibri"/>
      <family val="2"/>
      <scheme val="minor"/>
    </font>
    <font>
      <sz val="11"/>
      <color rgb="FFFF00FF"/>
      <name val="Calibri"/>
      <family val="2"/>
      <scheme val="minor"/>
    </font>
    <font>
      <sz val="11"/>
      <color rgb="FF0000FF"/>
      <name val="Calibri"/>
      <family val="2"/>
      <scheme val="minor"/>
    </font>
    <font>
      <sz val="11"/>
      <name val="Calibri"/>
      <family val="2"/>
      <scheme val="minor"/>
    </font>
  </fonts>
  <fills count="3">
    <fill>
      <patternFill patternType="none"/>
    </fill>
    <fill>
      <patternFill patternType="gray125"/>
    </fill>
    <fill>
      <patternFill patternType="solid">
        <fgColor rgb="FFFFFF00"/>
        <bgColor indexed="64"/>
      </patternFill>
    </fill>
  </fills>
  <borders count="7">
    <border>
      <left/>
      <right/>
      <top/>
      <bottom/>
      <diagonal/>
    </border>
    <border>
      <left/>
      <right/>
      <top/>
      <bottom style="thick">
        <color theme="4" tint="0.499984740745262"/>
      </bottom>
      <diagonal/>
    </border>
    <border>
      <left/>
      <right/>
      <top/>
      <bottom style="thick">
        <color theme="3"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theme="1"/>
      </top>
      <bottom/>
      <diagonal/>
    </border>
    <border>
      <left/>
      <right/>
      <top style="thin">
        <color theme="1"/>
      </top>
      <bottom style="thin">
        <color theme="1"/>
      </bottom>
      <diagonal/>
    </border>
  </borders>
  <cellStyleXfs count="5">
    <xf numFmtId="0" fontId="0" fillId="0" borderId="0"/>
    <xf numFmtId="0" fontId="1" fillId="0" borderId="1" applyNumberFormat="0" applyFill="0" applyAlignment="0" applyProtection="0"/>
    <xf numFmtId="0" fontId="4" fillId="0" borderId="2" applyFill="0" applyAlignment="0" applyProtection="0"/>
    <xf numFmtId="0" fontId="5" fillId="0" borderId="0" applyFill="0" applyBorder="0" applyAlignment="0" applyProtection="0"/>
    <xf numFmtId="0" fontId="6" fillId="0" borderId="0" applyNumberFormat="0" applyFill="0" applyBorder="0" applyAlignment="0" applyProtection="0"/>
  </cellStyleXfs>
  <cellXfs count="29">
    <xf numFmtId="0" fontId="0" fillId="0" borderId="0" xfId="0"/>
    <xf numFmtId="0" fontId="4" fillId="0" borderId="2" xfId="2"/>
    <xf numFmtId="0" fontId="5" fillId="0" borderId="0" xfId="3"/>
    <xf numFmtId="0" fontId="0" fillId="2" borderId="0" xfId="0" applyFill="1"/>
    <xf numFmtId="0" fontId="6" fillId="0" borderId="0" xfId="4"/>
    <xf numFmtId="14" fontId="0" fillId="0" borderId="0" xfId="0" applyNumberFormat="1"/>
    <xf numFmtId="14" fontId="2" fillId="0" borderId="0" xfId="0" applyNumberFormat="1" applyFont="1"/>
    <xf numFmtId="0" fontId="2" fillId="0" borderId="0" xfId="0" applyFont="1" applyAlignment="1">
      <alignment horizontal="left" indent="2"/>
    </xf>
    <xf numFmtId="0" fontId="1" fillId="0" borderId="1" xfId="1"/>
    <xf numFmtId="0" fontId="0" fillId="0" borderId="0" xfId="0" applyAlignment="1">
      <alignment horizontal="center"/>
    </xf>
    <xf numFmtId="0" fontId="0" fillId="0" borderId="3" xfId="0" applyBorder="1" applyAlignment="1">
      <alignment horizontal="center"/>
    </xf>
    <xf numFmtId="0" fontId="3" fillId="0" borderId="3" xfId="0" applyFont="1" applyBorder="1" applyAlignment="1">
      <alignment horizontal="center"/>
    </xf>
    <xf numFmtId="0" fontId="7" fillId="0" borderId="0" xfId="4" applyFont="1"/>
    <xf numFmtId="0" fontId="3" fillId="0" borderId="0" xfId="0" applyFont="1" applyAlignment="1">
      <alignment horizontal="center"/>
    </xf>
    <xf numFmtId="0" fontId="3" fillId="0" borderId="0" xfId="0" applyFont="1" applyAlignment="1">
      <alignment horizontal="right" indent="2"/>
    </xf>
    <xf numFmtId="0" fontId="2" fillId="0" borderId="0" xfId="0" applyFont="1"/>
    <xf numFmtId="0" fontId="2" fillId="0" borderId="0" xfId="0" applyFont="1" applyAlignment="1">
      <alignment horizontal="center"/>
    </xf>
    <xf numFmtId="0" fontId="8" fillId="0" borderId="0" xfId="0" applyFont="1" applyAlignment="1">
      <alignment horizontal="center"/>
    </xf>
    <xf numFmtId="0" fontId="8" fillId="0" borderId="0" xfId="0" applyFont="1"/>
    <xf numFmtId="0" fontId="9" fillId="0" borderId="0" xfId="0" applyFont="1"/>
    <xf numFmtId="0" fontId="9" fillId="2" borderId="0" xfId="0" applyFont="1" applyFill="1"/>
    <xf numFmtId="0" fontId="3" fillId="0" borderId="4" xfId="0" applyFont="1" applyBorder="1" applyAlignment="1">
      <alignment horizontal="center" vertical="center"/>
    </xf>
    <xf numFmtId="0" fontId="10" fillId="0" borderId="0" xfId="0" applyFont="1"/>
    <xf numFmtId="0" fontId="2" fillId="2" borderId="0" xfId="0" applyFont="1" applyFill="1"/>
    <xf numFmtId="0" fontId="0" fillId="0" borderId="0" xfId="0" applyAlignment="1">
      <alignment horizontal="left"/>
    </xf>
    <xf numFmtId="0" fontId="0" fillId="0" borderId="0" xfId="0" pivotButton="1"/>
    <xf numFmtId="0" fontId="0" fillId="0" borderId="5" xfId="0" applyBorder="1"/>
    <xf numFmtId="0" fontId="0" fillId="0" borderId="6" xfId="0" applyBorder="1"/>
    <xf numFmtId="0" fontId="0" fillId="2" borderId="6" xfId="0" applyFill="1" applyBorder="1"/>
  </cellXfs>
  <cellStyles count="5">
    <cellStyle name="Description" xfId="3" xr:uid="{3636466D-C087-4441-BA1F-CEA7C61A3BC7}"/>
    <cellStyle name="H1" xfId="2" xr:uid="{551216E0-3392-4998-9EDA-FF692BE962DA}"/>
    <cellStyle name="Heading 2" xfId="1" builtinId="17"/>
    <cellStyle name="Hyperlink" xfId="4" builtinId="8"/>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FF"/>
        <name val="Calibri"/>
        <family val="2"/>
        <scheme val="minor"/>
      </font>
    </dxf>
    <dxf>
      <font>
        <b val="0"/>
        <i val="0"/>
        <strike val="0"/>
        <condense val="0"/>
        <extend val="0"/>
        <outline val="0"/>
        <shadow val="0"/>
        <u val="none"/>
        <vertAlign val="baseline"/>
        <sz val="11"/>
        <color rgb="FF0000FF"/>
        <name val="Calibri"/>
        <family val="2"/>
        <scheme val="minor"/>
      </font>
    </dxf>
    <dxf>
      <font>
        <b val="0"/>
        <i val="0"/>
        <strike val="0"/>
        <condense val="0"/>
        <extend val="0"/>
        <outline val="0"/>
        <shadow val="0"/>
        <u val="none"/>
        <vertAlign val="baseline"/>
        <sz val="11"/>
        <color rgb="FF0000FF"/>
        <name val="Calibri"/>
        <family val="2"/>
        <scheme val="minor"/>
      </font>
    </dxf>
    <dxf>
      <font>
        <b val="0"/>
        <i val="0"/>
        <strike val="0"/>
        <condense val="0"/>
        <extend val="0"/>
        <outline val="0"/>
        <shadow val="0"/>
        <u val="none"/>
        <vertAlign val="baseline"/>
        <sz val="11"/>
        <color rgb="FF0000FF"/>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0000FF"/>
      <color rgb="FFFF00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xdr:from>
      <xdr:col>1</xdr:col>
      <xdr:colOff>0</xdr:colOff>
      <xdr:row>13</xdr:row>
      <xdr:rowOff>0</xdr:rowOff>
    </xdr:from>
    <xdr:to>
      <xdr:col>24</xdr:col>
      <xdr:colOff>0</xdr:colOff>
      <xdr:row>33</xdr:row>
      <xdr:rowOff>38100</xdr:rowOff>
    </xdr:to>
    <xdr:grpSp>
      <xdr:nvGrpSpPr>
        <xdr:cNvPr id="5" name="Group 4">
          <a:extLst>
            <a:ext uri="{FF2B5EF4-FFF2-40B4-BE49-F238E27FC236}">
              <a16:creationId xmlns:a16="http://schemas.microsoft.com/office/drawing/2014/main" id="{ACC80BEA-C0CE-3316-DB15-1BDC8470C086}"/>
            </a:ext>
          </a:extLst>
        </xdr:cNvPr>
        <xdr:cNvGrpSpPr/>
      </xdr:nvGrpSpPr>
      <xdr:grpSpPr>
        <a:xfrm>
          <a:off x="609600" y="2638425"/>
          <a:ext cx="13163550" cy="3848100"/>
          <a:chOff x="685800" y="1238250"/>
          <a:chExt cx="14801850" cy="3848100"/>
        </a:xfrm>
      </xdr:grpSpPr>
      <xdr:sp macro="" textlink="">
        <xdr:nvSpPr>
          <xdr:cNvPr id="2" name="TextBox 1">
            <a:extLst>
              <a:ext uri="{FF2B5EF4-FFF2-40B4-BE49-F238E27FC236}">
                <a16:creationId xmlns:a16="http://schemas.microsoft.com/office/drawing/2014/main" id="{31D47205-F354-27FD-09DC-01706A78AC3B}"/>
              </a:ext>
            </a:extLst>
          </xdr:cNvPr>
          <xdr:cNvSpPr txBox="1"/>
        </xdr:nvSpPr>
        <xdr:spPr>
          <a:xfrm>
            <a:off x="685800" y="1238250"/>
            <a:ext cx="4791075" cy="3829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mn-lt"/>
                <a:ea typeface="+mn-ea"/>
                <a:cs typeface="+mn-cs"/>
              </a:rPr>
              <a:t>2023 Pheasant Stocking</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The Wisconsin DNR plans to stock approximately </a:t>
            </a:r>
            <a:r>
              <a:rPr lang="en-US" sz="1100" b="1" i="0">
                <a:solidFill>
                  <a:schemeClr val="dk1"/>
                </a:solidFill>
                <a:effectLst/>
                <a:latin typeface="+mn-lt"/>
                <a:ea typeface="+mn-ea"/>
                <a:cs typeface="+mn-cs"/>
              </a:rPr>
              <a:t>75,000</a:t>
            </a:r>
            <a:r>
              <a:rPr lang="en-US" sz="1100" b="0" i="0">
                <a:solidFill>
                  <a:schemeClr val="dk1"/>
                </a:solidFill>
                <a:effectLst/>
                <a:latin typeface="+mn-lt"/>
                <a:ea typeface="+mn-ea"/>
                <a:cs typeface="+mn-cs"/>
              </a:rPr>
              <a:t> pheasants from the </a:t>
            </a:r>
            <a:r>
              <a:rPr lang="en-US" sz="1100" b="1" i="0">
                <a:solidFill>
                  <a:schemeClr val="dk1"/>
                </a:solidFill>
                <a:effectLst/>
                <a:latin typeface="+mn-lt"/>
                <a:ea typeface="+mn-ea"/>
                <a:cs typeface="+mn-cs"/>
              </a:rPr>
              <a:t>state game farm</a:t>
            </a:r>
            <a:r>
              <a:rPr lang="en-US" sz="1100" b="0" i="0">
                <a:solidFill>
                  <a:schemeClr val="dk1"/>
                </a:solidFill>
                <a:effectLst/>
                <a:latin typeface="+mn-lt"/>
                <a:ea typeface="+mn-ea"/>
                <a:cs typeface="+mn-cs"/>
              </a:rPr>
              <a:t> on </a:t>
            </a:r>
            <a:r>
              <a:rPr lang="en-US" sz="1100" b="1" i="0">
                <a:solidFill>
                  <a:schemeClr val="dk1"/>
                </a:solidFill>
                <a:effectLst/>
                <a:latin typeface="+mn-lt"/>
                <a:ea typeface="+mn-ea"/>
                <a:cs typeface="+mn-cs"/>
              </a:rPr>
              <a:t>over 80 properties statewide</a:t>
            </a:r>
            <a:r>
              <a:rPr lang="en-US" sz="1100" b="0" i="0">
                <a:solidFill>
                  <a:schemeClr val="dk1"/>
                </a:solidFill>
                <a:effectLst/>
                <a:latin typeface="+mn-lt"/>
                <a:ea typeface="+mn-ea"/>
                <a:cs typeface="+mn-cs"/>
              </a:rPr>
              <a:t>.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Depending on production levels, </a:t>
            </a:r>
            <a:r>
              <a:rPr lang="en-US" sz="1100" b="0" i="1">
                <a:solidFill>
                  <a:schemeClr val="dk1"/>
                </a:solidFill>
                <a:effectLst/>
                <a:latin typeface="+mn-lt"/>
                <a:ea typeface="+mn-ea"/>
                <a:cs typeface="+mn-cs"/>
              </a:rPr>
              <a:t>pheasants are released once prior to the pheasant hunting season</a:t>
            </a:r>
            <a:r>
              <a:rPr lang="en-US" sz="1100" b="0" i="0">
                <a:solidFill>
                  <a:schemeClr val="dk1"/>
                </a:solidFill>
                <a:effectLst/>
                <a:latin typeface="+mn-lt"/>
                <a:ea typeface="+mn-ea"/>
                <a:cs typeface="+mn-cs"/>
              </a:rPr>
              <a:t> and then </a:t>
            </a:r>
            <a:r>
              <a:rPr lang="en-US" sz="1100" b="0" i="1">
                <a:solidFill>
                  <a:schemeClr val="dk1"/>
                </a:solidFill>
                <a:effectLst/>
                <a:latin typeface="+mn-lt"/>
                <a:ea typeface="+mn-ea"/>
                <a:cs typeface="+mn-cs"/>
              </a:rPr>
              <a:t>twice a week for the first two to three weeks of the season</a:t>
            </a:r>
            <a:r>
              <a:rPr lang="en-US" sz="1100" b="0" i="0">
                <a:solidFill>
                  <a:schemeClr val="dk1"/>
                </a:solidFill>
                <a:effectLst/>
                <a:latin typeface="+mn-lt"/>
                <a:ea typeface="+mn-ea"/>
                <a:cs typeface="+mn-cs"/>
              </a:rPr>
              <a:t>. </a:t>
            </a:r>
            <a:r>
              <a:rPr lang="en-US" sz="1100" b="0" i="1">
                <a:solidFill>
                  <a:schemeClr val="dk1"/>
                </a:solidFill>
                <a:effectLst/>
                <a:latin typeface="+mn-lt"/>
                <a:ea typeface="+mn-ea"/>
                <a:cs typeface="+mn-cs"/>
              </a:rPr>
              <a:t>After that, birds are released about once a week until the 9-day gun deer season</a:t>
            </a:r>
            <a:r>
              <a:rPr lang="en-US" sz="1100" b="0" i="0">
                <a:solidFill>
                  <a:schemeClr val="dk1"/>
                </a:solidFill>
                <a:effectLst/>
                <a:latin typeface="+mn-lt"/>
                <a:ea typeface="+mn-ea"/>
                <a:cs typeface="+mn-cs"/>
              </a:rPr>
              <a:t>.</a:t>
            </a:r>
          </a:p>
          <a:p>
            <a:endParaRPr lang="en-US" sz="1100" b="0" i="0">
              <a:solidFill>
                <a:schemeClr val="dk1"/>
              </a:solidFill>
              <a:effectLst/>
              <a:latin typeface="+mn-lt"/>
              <a:ea typeface="+mn-ea"/>
              <a:cs typeface="+mn-cs"/>
            </a:endParaRPr>
          </a:p>
          <a:p>
            <a:r>
              <a:rPr lang="en-US" sz="1100" b="1" i="0" baseline="0">
                <a:solidFill>
                  <a:schemeClr val="dk1"/>
                </a:solidFill>
                <a:effectLst/>
                <a:latin typeface="+mn-lt"/>
                <a:ea typeface="+mn-ea"/>
                <a:cs typeface="+mn-cs"/>
              </a:rPr>
              <a:t>Hunting Season (Pheasant) and Requirements</a:t>
            </a:r>
          </a:p>
          <a:p>
            <a:endParaRPr lang="en-US" sz="1100" b="1" i="0" baseline="0">
              <a:solidFill>
                <a:schemeClr val="dk1"/>
              </a:solidFill>
              <a:effectLst/>
              <a:latin typeface="+mn-lt"/>
              <a:ea typeface="+mn-ea"/>
              <a:cs typeface="+mn-cs"/>
            </a:endParaRPr>
          </a:p>
          <a:p>
            <a:r>
              <a:rPr lang="en-US" sz="1100" b="0" i="0" baseline="0">
                <a:solidFill>
                  <a:schemeClr val="dk1"/>
                </a:solidFill>
                <a:effectLst/>
                <a:latin typeface="+mn-lt"/>
                <a:ea typeface="+mn-ea"/>
                <a:cs typeface="+mn-cs"/>
              </a:rPr>
              <a:t>- October 14, 2023 (9 AM) through January 7, 2024</a:t>
            </a:r>
          </a:p>
          <a:p>
            <a:endParaRPr lang="en-US" sz="1100" b="0" i="0" baseline="0">
              <a:solidFill>
                <a:schemeClr val="dk1"/>
              </a:solidFill>
              <a:effectLst/>
              <a:latin typeface="+mn-lt"/>
              <a:ea typeface="+mn-ea"/>
              <a:cs typeface="+mn-cs"/>
            </a:endParaRPr>
          </a:p>
          <a:p>
            <a:r>
              <a:rPr lang="en-US" sz="1100" b="0" i="0" baseline="0">
                <a:solidFill>
                  <a:schemeClr val="dk1"/>
                </a:solidFill>
                <a:effectLst/>
                <a:latin typeface="+mn-lt"/>
                <a:ea typeface="+mn-ea"/>
                <a:cs typeface="+mn-cs"/>
              </a:rPr>
              <a:t>- Bag Limit is</a:t>
            </a:r>
            <a:r>
              <a:rPr lang="en-US" sz="1100" b="1" i="0" baseline="0">
                <a:solidFill>
                  <a:schemeClr val="dk1"/>
                </a:solidFill>
                <a:effectLst/>
                <a:latin typeface="+mn-lt"/>
                <a:ea typeface="+mn-ea"/>
                <a:cs typeface="+mn-cs"/>
              </a:rPr>
              <a:t> one rooster per day for opening day </a:t>
            </a:r>
            <a:r>
              <a:rPr lang="en-US" sz="1100" b="0" i="0" baseline="0">
                <a:solidFill>
                  <a:schemeClr val="dk1"/>
                </a:solidFill>
                <a:effectLst/>
                <a:latin typeface="+mn-lt"/>
                <a:ea typeface="+mn-ea"/>
                <a:cs typeface="+mn-cs"/>
              </a:rPr>
              <a:t>(October 14-15) and </a:t>
            </a:r>
            <a:r>
              <a:rPr lang="en-US" sz="1100" b="1" i="0" baseline="0">
                <a:solidFill>
                  <a:schemeClr val="dk1"/>
                </a:solidFill>
                <a:effectLst/>
                <a:latin typeface="+mn-lt"/>
                <a:ea typeface="+mn-ea"/>
                <a:cs typeface="+mn-cs"/>
              </a:rPr>
              <a:t>two roosters per day for the remainder of the season.</a:t>
            </a:r>
          </a:p>
          <a:p>
            <a:endParaRPr lang="en-US" sz="1100" b="0" i="0" baseline="0">
              <a:solidFill>
                <a:schemeClr val="dk1"/>
              </a:solidFill>
              <a:effectLst/>
              <a:latin typeface="+mn-lt"/>
              <a:ea typeface="+mn-ea"/>
              <a:cs typeface="+mn-cs"/>
            </a:endParaRPr>
          </a:p>
          <a:p>
            <a:r>
              <a:rPr lang="en-US" sz="1100" b="0" i="0" baseline="0">
                <a:solidFill>
                  <a:schemeClr val="dk1"/>
                </a:solidFill>
                <a:effectLst/>
                <a:latin typeface="+mn-lt"/>
                <a:ea typeface="+mn-ea"/>
                <a:cs typeface="+mn-cs"/>
              </a:rPr>
              <a:t>- Pheasant Hunters need a </a:t>
            </a:r>
            <a:r>
              <a:rPr lang="en-US" sz="1100" b="0" i="1" baseline="0">
                <a:solidFill>
                  <a:schemeClr val="dk1"/>
                </a:solidFill>
                <a:effectLst/>
                <a:latin typeface="+mn-lt"/>
                <a:ea typeface="+mn-ea"/>
                <a:cs typeface="+mn-cs"/>
              </a:rPr>
              <a:t>valid small game hunting license </a:t>
            </a:r>
            <a:r>
              <a:rPr lang="en-US" sz="1100" b="0" i="0" baseline="0">
                <a:solidFill>
                  <a:schemeClr val="dk1"/>
                </a:solidFill>
                <a:effectLst/>
                <a:latin typeface="+mn-lt"/>
                <a:ea typeface="+mn-ea"/>
                <a:cs typeface="+mn-cs"/>
              </a:rPr>
              <a:t>and </a:t>
            </a:r>
            <a:r>
              <a:rPr lang="en-US" sz="1100" b="0" i="1" baseline="0">
                <a:solidFill>
                  <a:schemeClr val="dk1"/>
                </a:solidFill>
                <a:effectLst/>
                <a:latin typeface="+mn-lt"/>
                <a:ea typeface="+mn-ea"/>
                <a:cs typeface="+mn-cs"/>
              </a:rPr>
              <a:t>a 2023 Pheasant Stamp</a:t>
            </a:r>
          </a:p>
          <a:p>
            <a:endParaRPr lang="en-US" sz="1100" b="0" i="1" baseline="0">
              <a:solidFill>
                <a:schemeClr val="dk1"/>
              </a:solidFill>
              <a:effectLst/>
              <a:latin typeface="+mn-lt"/>
              <a:ea typeface="+mn-ea"/>
              <a:cs typeface="+mn-cs"/>
            </a:endParaRPr>
          </a:p>
        </xdr:txBody>
      </xdr:sp>
      <xdr:sp macro="" textlink="">
        <xdr:nvSpPr>
          <xdr:cNvPr id="3" name="TextBox 2">
            <a:extLst>
              <a:ext uri="{FF2B5EF4-FFF2-40B4-BE49-F238E27FC236}">
                <a16:creationId xmlns:a16="http://schemas.microsoft.com/office/drawing/2014/main" id="{0F150D82-16F4-D372-4F91-1C9E31A699E9}"/>
              </a:ext>
            </a:extLst>
          </xdr:cNvPr>
          <xdr:cNvSpPr txBox="1"/>
        </xdr:nvSpPr>
        <xdr:spPr>
          <a:xfrm>
            <a:off x="5686426" y="1238250"/>
            <a:ext cx="4800600" cy="3829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mn-lt"/>
                <a:ea typeface="+mn-ea"/>
                <a:cs typeface="+mn-cs"/>
              </a:rPr>
              <a:t>Fields &amp; Forest Lands Interactive Gamebird Hunting Tool</a:t>
            </a:r>
            <a:r>
              <a:rPr lang="en-US" sz="1100" b="0" i="0">
                <a:solidFill>
                  <a:schemeClr val="dk1"/>
                </a:solidFill>
                <a:effectLst/>
                <a:latin typeface="+mn-lt"/>
                <a:ea typeface="+mn-ea"/>
                <a:cs typeface="+mn-cs"/>
              </a:rPr>
              <a:t> (</a:t>
            </a:r>
            <a:r>
              <a:rPr lang="en-US" sz="1100" b="1" i="0" baseline="0">
                <a:solidFill>
                  <a:schemeClr val="dk1"/>
                </a:solidFill>
                <a:effectLst/>
                <a:latin typeface="+mn-lt"/>
                <a:ea typeface="+mn-ea"/>
                <a:cs typeface="+mn-cs"/>
              </a:rPr>
              <a:t>FFLIGHT)</a:t>
            </a:r>
          </a:p>
          <a:p>
            <a:endParaRPr lang="en-US">
              <a:effectLst/>
            </a:endParaRPr>
          </a:p>
          <a:p>
            <a:r>
              <a:rPr lang="en-US" sz="1100" b="0" i="0">
                <a:solidFill>
                  <a:schemeClr val="dk1"/>
                </a:solidFill>
                <a:effectLst/>
                <a:latin typeface="+mn-lt"/>
                <a:ea typeface="+mn-ea"/>
                <a:cs typeface="+mn-cs"/>
              </a:rPr>
              <a:t>- Online map showing properties stocked with pheasants, managed dove fields and suitable cover for ruffed grouse and woodcock. Visit </a:t>
            </a:r>
            <a:r>
              <a:rPr lang="en-US" sz="1100" b="0" i="0" u="sng">
                <a:solidFill>
                  <a:schemeClr val="dk1"/>
                </a:solidFill>
                <a:effectLst/>
                <a:latin typeface="+mn-lt"/>
                <a:ea typeface="+mn-ea"/>
                <a:cs typeface="+mn-cs"/>
              </a:rPr>
              <a:t>dnr.wi.gov</a:t>
            </a:r>
            <a:r>
              <a:rPr lang="en-US" sz="1100" b="0" i="0">
                <a:solidFill>
                  <a:schemeClr val="dk1"/>
                </a:solidFill>
                <a:effectLst/>
                <a:latin typeface="+mn-lt"/>
                <a:ea typeface="+mn-ea"/>
                <a:cs typeface="+mn-cs"/>
              </a:rPr>
              <a:t> and search keyword </a:t>
            </a:r>
            <a:r>
              <a:rPr lang="en-US" sz="1100" b="0" i="0" u="sng">
                <a:solidFill>
                  <a:schemeClr val="dk1"/>
                </a:solidFill>
                <a:effectLst/>
                <a:latin typeface="+mn-lt"/>
                <a:ea typeface="+mn-ea"/>
                <a:cs typeface="+mn-cs"/>
              </a:rPr>
              <a:t>FFLIGHT</a:t>
            </a:r>
            <a:r>
              <a:rPr lang="en-US" sz="1100" b="0" i="0">
                <a:solidFill>
                  <a:schemeClr val="dk1"/>
                </a:solidFill>
                <a:effectLst/>
                <a:latin typeface="+mn-lt"/>
                <a:ea typeface="+mn-ea"/>
                <a:cs typeface="+mn-cs"/>
              </a:rPr>
              <a:t> for more information.</a:t>
            </a:r>
            <a:r>
              <a:rPr lang="en-US" sz="1100" b="0" i="0" baseline="0">
                <a:solidFill>
                  <a:schemeClr val="dk1"/>
                </a:solidFill>
                <a:effectLst/>
                <a:latin typeface="+mn-lt"/>
                <a:ea typeface="+mn-ea"/>
                <a:cs typeface="+mn-cs"/>
              </a:rPr>
              <a:t> </a:t>
            </a:r>
            <a:endParaRPr lang="en-US">
              <a:effectLst/>
            </a:endParaRPr>
          </a:p>
          <a:p>
            <a:endParaRPr lang="en-US" sz="1100" b="1" i="0" baseline="0">
              <a:solidFill>
                <a:schemeClr val="dk1"/>
              </a:solidFill>
              <a:effectLst/>
              <a:latin typeface="+mn-lt"/>
              <a:ea typeface="+mn-ea"/>
              <a:cs typeface="+mn-cs"/>
            </a:endParaRPr>
          </a:p>
          <a:p>
            <a:r>
              <a:rPr lang="en-US" sz="1100" b="1" i="0" baseline="0">
                <a:solidFill>
                  <a:schemeClr val="dk1"/>
                </a:solidFill>
                <a:effectLst/>
                <a:latin typeface="+mn-lt"/>
                <a:ea typeface="+mn-ea"/>
                <a:cs typeface="+mn-cs"/>
              </a:rPr>
              <a:t>12PM Closure Areas</a:t>
            </a:r>
            <a:endParaRPr lang="en-US">
              <a:effectLst/>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Properties where pheasant hunting hours </a:t>
            </a:r>
            <a:r>
              <a:rPr lang="en-US" sz="1100" b="1" i="0">
                <a:solidFill>
                  <a:schemeClr val="dk1"/>
                </a:solidFill>
                <a:effectLst/>
                <a:latin typeface="+mn-lt"/>
                <a:ea typeface="+mn-ea"/>
                <a:cs typeface="+mn-cs"/>
              </a:rPr>
              <a:t>close at 12pm on weekdays beginning the third day of the season and continuing through Nov. 3</a:t>
            </a:r>
            <a:r>
              <a:rPr lang="en-US" sz="1100" b="0" i="0">
                <a:solidFill>
                  <a:schemeClr val="dk1"/>
                </a:solidFill>
                <a:effectLst/>
                <a:latin typeface="+mn-lt"/>
                <a:ea typeface="+mn-ea"/>
                <a:cs typeface="+mn-cs"/>
              </a:rPr>
              <a:t>. </a:t>
            </a:r>
            <a:endParaRPr lang="en-US">
              <a:effectLst/>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The remainder of the season and all other properties follow regular small game hunting hours listed in the combined hunting regulations.</a:t>
            </a:r>
            <a:endParaRPr lang="en-US">
              <a:effectLst/>
            </a:endParaRPr>
          </a:p>
          <a:p>
            <a:endParaRPr lang="en-US" sz="1100" b="1" i="0">
              <a:solidFill>
                <a:schemeClr val="dk1"/>
              </a:solidFill>
              <a:effectLst/>
              <a:latin typeface="+mn-lt"/>
              <a:ea typeface="+mn-ea"/>
              <a:cs typeface="+mn-cs"/>
            </a:endParaRPr>
          </a:p>
          <a:p>
            <a:r>
              <a:rPr lang="en-US" sz="1100" b="1" i="0">
                <a:solidFill>
                  <a:schemeClr val="dk1"/>
                </a:solidFill>
                <a:effectLst/>
                <a:latin typeface="+mn-lt"/>
                <a:ea typeface="+mn-ea"/>
                <a:cs typeface="+mn-cs"/>
              </a:rPr>
              <a:t>Hen / Rooster Areas</a:t>
            </a:r>
            <a:endParaRPr lang="en-US">
              <a:effectLst/>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Properties where the </a:t>
            </a:r>
            <a:r>
              <a:rPr lang="en-US" sz="1100" b="1" i="0">
                <a:solidFill>
                  <a:schemeClr val="dk1"/>
                </a:solidFill>
                <a:effectLst/>
                <a:latin typeface="+mn-lt"/>
                <a:ea typeface="+mn-ea"/>
                <a:cs typeface="+mn-cs"/>
              </a:rPr>
              <a:t>harvest of both roosters and hens is allowed</a:t>
            </a:r>
            <a:r>
              <a:rPr lang="en-US" sz="1100" b="0" i="0">
                <a:solidFill>
                  <a:schemeClr val="dk1"/>
                </a:solidFill>
                <a:effectLst/>
                <a:latin typeface="+mn-lt"/>
                <a:ea typeface="+mn-ea"/>
                <a:cs typeface="+mn-cs"/>
              </a:rPr>
              <a:t>.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The bag limit is one pheasant daily Oct. 14-15 and two pheasants daily for the remainder of the season.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All other properties only allow the harvest of roosters.</a:t>
            </a:r>
            <a:endParaRPr lang="en-US">
              <a:effectLst/>
            </a:endParaRPr>
          </a:p>
          <a:p>
            <a:endParaRPr lang="en-US" sz="1100"/>
          </a:p>
        </xdr:txBody>
      </xdr:sp>
      <xdr:sp macro="" textlink="">
        <xdr:nvSpPr>
          <xdr:cNvPr id="4" name="TextBox 3">
            <a:extLst>
              <a:ext uri="{FF2B5EF4-FFF2-40B4-BE49-F238E27FC236}">
                <a16:creationId xmlns:a16="http://schemas.microsoft.com/office/drawing/2014/main" id="{E9D999E2-7FEF-4457-A377-9AADEC8A8053}"/>
              </a:ext>
            </a:extLst>
          </xdr:cNvPr>
          <xdr:cNvSpPr txBox="1"/>
        </xdr:nvSpPr>
        <xdr:spPr>
          <a:xfrm>
            <a:off x="10687050" y="1257300"/>
            <a:ext cx="4800600" cy="3829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The Day-Old</a:t>
            </a:r>
            <a:r>
              <a:rPr lang="en-US" sz="1100" b="1" baseline="0"/>
              <a:t> Chick (DOC) Program</a:t>
            </a:r>
          </a:p>
          <a:p>
            <a:endParaRPr lang="en-US" sz="1100" b="1" baseline="0"/>
          </a:p>
          <a:p>
            <a:r>
              <a:rPr lang="en-US" sz="1100" b="0" baseline="0"/>
              <a:t>- Program that </a:t>
            </a:r>
            <a:r>
              <a:rPr lang="en-US" sz="1100" b="0" i="0">
                <a:solidFill>
                  <a:schemeClr val="dk1"/>
                </a:solidFill>
                <a:effectLst/>
                <a:latin typeface="+mn-lt"/>
                <a:ea typeface="+mn-ea"/>
                <a:cs typeface="+mn-cs"/>
              </a:rPr>
              <a:t>allows </a:t>
            </a:r>
            <a:r>
              <a:rPr lang="en-US" sz="1100" b="1" i="0">
                <a:solidFill>
                  <a:schemeClr val="dk1"/>
                </a:solidFill>
                <a:effectLst/>
                <a:latin typeface="+mn-lt"/>
                <a:ea typeface="+mn-ea"/>
                <a:cs typeface="+mn-cs"/>
              </a:rPr>
              <a:t>conservation clubs to raise and release pheasants on private land open to public hunting or on approved state-owned lands</a:t>
            </a:r>
            <a:r>
              <a:rPr lang="en-US" sz="1100" b="0" i="0">
                <a:solidFill>
                  <a:schemeClr val="dk1"/>
                </a:solidFill>
                <a:effectLst/>
                <a:latin typeface="+mn-lt"/>
                <a:ea typeface="+mn-ea"/>
                <a:cs typeface="+mn-cs"/>
              </a:rPr>
              <a:t>.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Hunters are reminded to be polite and </a:t>
            </a:r>
            <a:r>
              <a:rPr lang="en-US" sz="1100" b="1" i="0">
                <a:solidFill>
                  <a:schemeClr val="dk1"/>
                </a:solidFill>
                <a:effectLst/>
                <a:latin typeface="+mn-lt"/>
                <a:ea typeface="+mn-ea"/>
                <a:cs typeface="+mn-cs"/>
              </a:rPr>
              <a:t>notify landowners before hunting on open private property as part of the DOC program</a:t>
            </a:r>
            <a:r>
              <a:rPr lang="en-US" sz="1100" b="0" i="0">
                <a:solidFill>
                  <a:schemeClr val="dk1"/>
                </a:solidFill>
                <a:effectLst/>
                <a:latin typeface="+mn-lt"/>
                <a:ea typeface="+mn-ea"/>
                <a:cs typeface="+mn-cs"/>
              </a:rPr>
              <a:t>.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Visit dnr.wi.gov and search keyword "Game Farm" for more information.</a:t>
            </a:r>
          </a:p>
          <a:p>
            <a:endParaRPr lang="en-US" sz="1100" b="0" i="0">
              <a:solidFill>
                <a:schemeClr val="dk1"/>
              </a:solidFill>
              <a:effectLst/>
              <a:latin typeface="+mn-lt"/>
              <a:ea typeface="+mn-ea"/>
              <a:cs typeface="+mn-cs"/>
            </a:endParaRPr>
          </a:p>
          <a:p>
            <a:endParaRPr lang="en-US" sz="1100" b="1"/>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314325</xdr:colOff>
      <xdr:row>5</xdr:row>
      <xdr:rowOff>76200</xdr:rowOff>
    </xdr:from>
    <xdr:to>
      <xdr:col>17</xdr:col>
      <xdr:colOff>304800</xdr:colOff>
      <xdr:row>21</xdr:row>
      <xdr:rowOff>66675</xdr:rowOff>
    </xdr:to>
    <xdr:sp macro="" textlink="">
      <xdr:nvSpPr>
        <xdr:cNvPr id="2" name="TextBox 1">
          <a:extLst>
            <a:ext uri="{FF2B5EF4-FFF2-40B4-BE49-F238E27FC236}">
              <a16:creationId xmlns:a16="http://schemas.microsoft.com/office/drawing/2014/main" id="{F65986C7-056C-5494-9D41-0C6BE397835A}"/>
            </a:ext>
          </a:extLst>
        </xdr:cNvPr>
        <xdr:cNvSpPr txBox="1"/>
      </xdr:nvSpPr>
      <xdr:spPr>
        <a:xfrm>
          <a:off x="7667625" y="1028700"/>
          <a:ext cx="4105275" cy="3038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Pheasant Hunting Noon Closure Areas Shooting hours deviate from standard times within the boundaries of the properties below. Pheasant hours for these properties close at 12 p.m. on weekdays from Oct.–Nov. 3. For more information, visit dnr.wi.gov and search “pheasant.”  Allenton Wildlife Area (W.A.) (Washington County)  Brooklyn W.A. (Dane, Green)  C.D. “Buzz” Besadny Fish and W.A. (Kewaunee)  Dunnville W.A. (Dunn)  Eldorado Marsh W.A. (Fond Du Lac)  Goose Lake W.A. (Dane)  Grand River W.A. (Green Lake, Marquette)  Holland W.A. (Brown)  Horicon W.A. (Dodge)  Jackson Marsh W.A. (Washington)  Killsnake W.A. (Calumet and Manitowoc)  Mazomanie Unit, Lower Wisconsin State Riverway (Dane)  Mud Lake W.A. (Dodge)  Mud Lake W.A. (Columbia)  New Munster W.A. (Kenosha)  Nichols Creek W.A. (Sheboygan)  Pine Island W.A. (Columbia, Sauk)  Theresa W.A. (Dodge and Washington)  Tichigan W.A. (Racine)  Vernon W.A. (Waukesha)  White River </a:t>
          </a: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Briggs" refreshedDate="45199.530647453706" createdVersion="8" refreshedVersion="8" minRefreshableVersion="3" recordCount="227" xr:uid="{94EEE82D-6D0A-4D38-96D8-E4077064C0DF}">
  <cacheSource type="worksheet">
    <worksheetSource name="PheasantLocations"/>
  </cacheSource>
  <cacheFields count="13">
    <cacheField name="OBJECTID" numFmtId="0">
      <sharedItems containsSemiMixedTypes="0" containsString="0" containsNumber="1" containsInteger="1" minValue="89902" maxValue="156797"/>
    </cacheField>
    <cacheField name="SHAPE" numFmtId="0">
      <sharedItems containsNonDate="0" containsString="0" containsBlank="1"/>
    </cacheField>
    <cacheField name="LMS_LOCAL_" numFmtId="0">
      <sharedItems containsSemiMixedTypes="0" containsString="0" containsNumber="1" containsInteger="1" minValue="790" maxValue="11713"/>
    </cacheField>
    <cacheField name="PROP_NAME" numFmtId="0">
      <sharedItems count="74">
        <s v="ADELL WILDLIFE AREA"/>
        <s v="MUD LAKE WILDLIFE AREA-COLUMBIA"/>
        <s v="EXTENSIVE WL HABITAT"/>
        <s v="ALBANY WILDLIFE AREA"/>
        <s v="DORN CREEK FISHERY AREA"/>
        <s v="EVANSVILLE WILDLIFE AREA"/>
        <s v="LODI MARSH WILDLIFE AREA"/>
        <s v="DEANSVILLE WILDLIFE AREA"/>
        <s v="KETTLE MORAINE STATE FOREST-NORTHERN UNIT-IANSR"/>
        <s v="TICHIGAN WILDLIFE AREA"/>
        <s v="LIMA MARSH - STORRS LAKE WILDLIFE AREA"/>
        <s v="TRI-CREEK WATERSHED"/>
        <s v="HONEY CREEK WILDLIFE AREA"/>
        <s v="FRENCH CREEK WILDLIFE AREA"/>
        <s v="PINE ISLAND WILDLIFE AREA"/>
        <s v="SHAW MARSH WILDLIFE AREA"/>
        <s v="Stream Bank Protection Fee Program"/>
        <s v="MC MILLAN WILDLIFE AREA"/>
        <s v="GREEN BAY WEST SHORES WILDLIFE ARE"/>
        <s v="HORICON WILDLIFE AREA"/>
        <s v="LOWER WISCONSIN STATE RIVERWAY"/>
        <s v="BLACKHAWK LAKE RECREATIONAL AREA"/>
        <s v="YELLOWSTONE WILDLIFE AREA"/>
        <s v="SHEBOYGAN MARSH WILDLIFE AREA"/>
        <s v="TOM LAWIN WILDLIFE AREA"/>
        <s v="HOOK LAKE/GRASS LAKE WILDLIFE AND NATURAL AREA"/>
        <s v="NICHOLS CREEK WILDLIFE AREA"/>
        <s v="MUD LAKE WILDLIFE AREA-DODGE"/>
        <s v="FOOTVILLE WILDLIFE AREA"/>
        <s v="AVON BOTTOMS WILDLIFE AREA"/>
        <s v="GRASSY LAKE WILDLIFE AREA"/>
        <s v="JEFFERSON MARSH STATE WILDLIFE AND NATURAL AREA"/>
        <s v="PARADISE VALLEY WILDLIFE AREA"/>
        <s v="VERNON WILDLIFE AREA"/>
        <s v="LAKE MILLS WILDLIFE AREA"/>
        <s v="PRINCES POINT WILDLIFE AREA"/>
        <s v="ROME POND WILDLIFE AREA"/>
        <s v="WATERLOO WILDLIFE AREA"/>
        <s v="BROOKLYN WILDLIFE AREA"/>
        <s v="BAD FISH CREEK WILDLIFE AREA"/>
        <s v="SAUK PRAIRIE RECREATION AREA"/>
        <s v="ELDORADO WILDLIFE AREA"/>
        <s v="GOOSE LAKE WILDLIFE AREA"/>
        <s v="PARADISE MARSH WILDLIFE AREA"/>
        <s v="PETER HELLAND WILDLIFE AREA"/>
        <s v="MULLET CREEK WILDLIFE AREA"/>
        <s v="LAKES COULEE WILDLIFE AREA"/>
        <s v="BORST VALLEY WILDLIFE AREA"/>
        <s v="SCATTERED WILDLIFE"/>
        <s v="TAMARACK CREEK WILDLIFE AREA"/>
        <s v="WHITE RIVER MARSH WILDLIFE AREA"/>
        <s v="STATEWIDE HABITAT AREAS"/>
        <s v="Lower Wolf River Bottomlands Natural Resource Area"/>
        <s v="NAVARINO WILDLIFE AREA"/>
        <s v="BRILLION WILDLIFE AREA"/>
        <s v="DUNNVILLE WILDLIFE AREA"/>
        <s v="KETTLE MORAINE STATE FOREST-SOUTHERN UNIT"/>
        <s v="KILLSNAKE WILDLIFE AREA"/>
        <s v="SOUTH BEAVER CREEK WILDLIFE AREA"/>
        <s v="KICKAPOO WILDLIFE AREA"/>
        <s v="RICHARD BONG RECREATION AREA"/>
        <s v="C.D. (BUZZ) BESADNY FISH AND WILDLIFE AREA"/>
        <s v="HOLLAND WILDLIFE AREA"/>
        <s v="GARDNER SWAMP WILDLIFE AREA"/>
        <s v="GLACIAL HABITAT RESTORATION"/>
        <s v="JACKSON MARSH WILDLIFE AREA"/>
        <s v="STATEWIDE WILDLIFE HABITAT"/>
        <s v="ALLENTON WILDLIFE AREA"/>
        <s v="THERESA WILDLIFE AREA"/>
        <s v="Wisconsin Waterfowl Association"/>
        <s v="NEW MUNSTER WILDLIFE AREA"/>
        <s v="KICKAPOO VALLEY RESERVE STATE NATURAL AREA"/>
        <s v="GRAND RIVER MARSH WILDLIFE AREA"/>
        <s v="MAZOMANIE WILDLIFE AREA"/>
      </sharedItems>
    </cacheField>
    <cacheField name="MAP_VISIBL" numFmtId="0">
      <sharedItems/>
    </cacheField>
    <cacheField name="STOCKING_Y" numFmtId="0">
      <sharedItems/>
    </cacheField>
    <cacheField name="ACRES_SUIT" numFmtId="0">
      <sharedItems containsString="0" containsBlank="1" containsNumber="1" containsInteger="1" minValue="40" maxValue="7000"/>
    </cacheField>
    <cacheField name="PREVIOUS_S" numFmtId="0">
      <sharedItems containsString="0" containsBlank="1" containsNumber="1" containsInteger="1" minValue="40" maxValue="3500"/>
    </cacheField>
    <cacheField name="PROPOSED_S" numFmtId="0">
      <sharedItems containsString="0" containsBlank="1" containsNumber="1" containsInteger="1" minValue="20" maxValue="11000"/>
    </cacheField>
    <cacheField name="MAX_BIRDS_" numFmtId="0">
      <sharedItems containsString="0" containsBlank="1" containsNumber="1" containsInteger="1" minValue="20" maxValue="320"/>
    </cacheField>
    <cacheField name="COMMENTS_T" numFmtId="0">
      <sharedItems containsBlank="1"/>
    </cacheField>
    <cacheField name="SHAPE_AREA" numFmtId="0">
      <sharedItems containsSemiMixedTypes="0" containsString="0" containsNumber="1" minValue="31387.852648475" maxValue="9199433.6071904693"/>
    </cacheField>
    <cacheField name="SHAPE_LEN" numFmtId="0">
      <sharedItems containsSemiMixedTypes="0" containsString="0" containsNumber="1" minValue="721.54245095507304" maxValue="9744.90068932697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7">
  <r>
    <n v="90222"/>
    <m/>
    <n v="7014"/>
    <x v="0"/>
    <s v="Y"/>
    <s v="2023"/>
    <n v="40"/>
    <m/>
    <n v="200"/>
    <n v="20"/>
    <m/>
    <n v="214988.69771725"/>
    <n v="3839.7119195978198"/>
  </r>
  <r>
    <n v="94706"/>
    <m/>
    <n v="8060"/>
    <x v="1"/>
    <s v="Y"/>
    <s v="2023"/>
    <n v="1300"/>
    <m/>
    <n v="780"/>
    <n v="80"/>
    <m/>
    <n v="9199433.6071904693"/>
    <n v="2513"/>
  </r>
  <r>
    <n v="92148"/>
    <m/>
    <n v="10145"/>
    <x v="2"/>
    <s v="Y"/>
    <s v="2023"/>
    <n v="120"/>
    <m/>
    <n v="80"/>
    <n v="20"/>
    <m/>
    <n v="314085.27446591499"/>
    <n v="3023.3411710144801"/>
  </r>
  <r>
    <n v="154218"/>
    <m/>
    <n v="7020"/>
    <x v="3"/>
    <s v="Y"/>
    <s v="2023"/>
    <n v="1000"/>
    <m/>
    <n v="1100"/>
    <n v="120"/>
    <m/>
    <n v="4028390.4144806201"/>
    <n v="2447"/>
  </r>
  <r>
    <n v="137578"/>
    <m/>
    <n v="790"/>
    <x v="4"/>
    <s v="Y"/>
    <s v="2023"/>
    <n v="300"/>
    <m/>
    <n v="140"/>
    <n v="20"/>
    <m/>
    <n v="1185326.18966007"/>
    <n v="7161.05324972771"/>
  </r>
  <r>
    <n v="154220"/>
    <m/>
    <n v="7460"/>
    <x v="5"/>
    <s v="Y"/>
    <s v="2023"/>
    <n v="900"/>
    <m/>
    <n v="2000"/>
    <n v="180"/>
    <m/>
    <n v="3634190.36779554"/>
    <n v="1468"/>
  </r>
  <r>
    <n v="112939"/>
    <m/>
    <n v="10049"/>
    <x v="2"/>
    <s v="Y"/>
    <s v="2023"/>
    <n v="400"/>
    <m/>
    <n v="240"/>
    <n v="60"/>
    <m/>
    <n v="1433175.97969976"/>
    <n v="6634.8570948488496"/>
  </r>
  <r>
    <n v="112940"/>
    <m/>
    <n v="10049"/>
    <x v="2"/>
    <s v="Y"/>
    <s v="2023"/>
    <n v="400"/>
    <m/>
    <n v="240"/>
    <n v="60"/>
    <m/>
    <n v="3075323.9073264701"/>
    <n v="1370"/>
  </r>
  <r>
    <n v="92141"/>
    <m/>
    <n v="7880"/>
    <x v="6"/>
    <s v="Y"/>
    <s v="2023"/>
    <n v="1140"/>
    <m/>
    <n v="600"/>
    <n v="40"/>
    <m/>
    <n v="1110281.6057448401"/>
    <n v="4720.1218946526096"/>
  </r>
  <r>
    <n v="92140"/>
    <m/>
    <n v="7880"/>
    <x v="6"/>
    <s v="Y"/>
    <s v="2023"/>
    <n v="1140"/>
    <m/>
    <n v="600"/>
    <n v="40"/>
    <m/>
    <n v="1169957.1892607401"/>
    <n v="6069.6440605345597"/>
  </r>
  <r>
    <n v="91831"/>
    <m/>
    <n v="7370"/>
    <x v="7"/>
    <s v="Y"/>
    <s v="2023"/>
    <n v="1668"/>
    <m/>
    <n v="860"/>
    <n v="80"/>
    <m/>
    <n v="197285.04803532999"/>
    <n v="1806.3693662693699"/>
  </r>
  <r>
    <n v="91832"/>
    <m/>
    <n v="7370"/>
    <x v="7"/>
    <s v="Y"/>
    <s v="2023"/>
    <n v="1668"/>
    <m/>
    <n v="860"/>
    <n v="80"/>
    <m/>
    <n v="3321597.1918545798"/>
    <n v="9053.3380104053595"/>
  </r>
  <r>
    <n v="90538"/>
    <m/>
    <n v="9240"/>
    <x v="8"/>
    <s v="Y"/>
    <s v="2023"/>
    <n v="5200"/>
    <m/>
    <n v="2740"/>
    <n v="320"/>
    <m/>
    <n v="1170673"/>
    <n v="1668"/>
  </r>
  <r>
    <n v="90542"/>
    <m/>
    <n v="9240"/>
    <x v="8"/>
    <s v="Y"/>
    <s v="2023"/>
    <n v="5200"/>
    <m/>
    <n v="2740"/>
    <n v="320"/>
    <m/>
    <n v="8813927.0148689803"/>
    <n v="1552"/>
  </r>
  <r>
    <n v="90541"/>
    <m/>
    <n v="9240"/>
    <x v="8"/>
    <s v="Y"/>
    <s v="2023"/>
    <n v="5200"/>
    <m/>
    <n v="2740"/>
    <n v="320"/>
    <m/>
    <n v="2210165"/>
    <n v="2242"/>
  </r>
  <r>
    <n v="90543"/>
    <m/>
    <n v="9240"/>
    <x v="8"/>
    <s v="Y"/>
    <s v="2023"/>
    <n v="5200"/>
    <m/>
    <n v="2740"/>
    <n v="320"/>
    <m/>
    <n v="3429013.1884335298"/>
    <n v="9589.9849845900899"/>
  </r>
  <r>
    <n v="90539"/>
    <m/>
    <n v="9240"/>
    <x v="8"/>
    <s v="Y"/>
    <s v="2023"/>
    <n v="5200"/>
    <m/>
    <n v="2740"/>
    <n v="320"/>
    <m/>
    <n v="1937039"/>
    <n v="1985"/>
  </r>
  <r>
    <n v="95684"/>
    <m/>
    <n v="8670"/>
    <x v="9"/>
    <s v="Y"/>
    <s v="2023"/>
    <n v="1000"/>
    <m/>
    <n v="680"/>
    <n v="60"/>
    <m/>
    <n v="1282222.5510488499"/>
    <n v="5971.9211587729897"/>
  </r>
  <r>
    <n v="95676"/>
    <m/>
    <n v="8670"/>
    <x v="9"/>
    <s v="Y"/>
    <s v="2023"/>
    <n v="1000"/>
    <m/>
    <n v="680"/>
    <n v="60"/>
    <m/>
    <n v="121792.576455445"/>
    <n v="2201.2383549411702"/>
  </r>
  <r>
    <n v="95677"/>
    <m/>
    <n v="8670"/>
    <x v="9"/>
    <s v="Y"/>
    <s v="2023"/>
    <n v="1000"/>
    <m/>
    <n v="680"/>
    <n v="60"/>
    <m/>
    <n v="1109767.6302386399"/>
    <n v="5949.3493433071699"/>
  </r>
  <r>
    <n v="95678"/>
    <m/>
    <n v="8670"/>
    <x v="9"/>
    <s v="Y"/>
    <s v="2023"/>
    <n v="1000"/>
    <m/>
    <n v="680"/>
    <n v="60"/>
    <m/>
    <n v="114968.77810157499"/>
    <n v="2181.8178089888902"/>
  </r>
  <r>
    <n v="154874"/>
    <m/>
    <n v="7852"/>
    <x v="10"/>
    <s v="Y"/>
    <s v="2023"/>
    <n v="895"/>
    <m/>
    <n v="1000"/>
    <n v="120"/>
    <m/>
    <n v="3618973.5143114198"/>
    <n v="2535"/>
  </r>
  <r>
    <n v="137898"/>
    <m/>
    <n v="2623"/>
    <x v="11"/>
    <s v="Y"/>
    <s v="2023"/>
    <n v="750"/>
    <m/>
    <n v="300"/>
    <n v="60"/>
    <m/>
    <n v="3099335.39903065"/>
    <n v="9128.35004386742"/>
  </r>
  <r>
    <n v="95673"/>
    <m/>
    <n v="7630"/>
    <x v="12"/>
    <s v="Y"/>
    <s v="2023"/>
    <n v="1000"/>
    <m/>
    <n v="640"/>
    <n v="60"/>
    <m/>
    <n v="734939.03025028505"/>
    <n v="5953.1514936765298"/>
  </r>
  <r>
    <n v="95672"/>
    <m/>
    <n v="7630"/>
    <x v="12"/>
    <s v="Y"/>
    <s v="2023"/>
    <n v="1000"/>
    <m/>
    <n v="640"/>
    <n v="60"/>
    <m/>
    <n v="343981.70181067998"/>
    <n v="2717.63313824225"/>
  </r>
  <r>
    <n v="94708"/>
    <m/>
    <n v="7510"/>
    <x v="13"/>
    <s v="Y"/>
    <s v="2023"/>
    <n v="1600"/>
    <m/>
    <n v="740"/>
    <n v="100"/>
    <m/>
    <n v="7477018.8759854604"/>
    <n v="2659"/>
  </r>
  <r>
    <n v="94713"/>
    <m/>
    <n v="8220"/>
    <x v="14"/>
    <s v="Y"/>
    <s v="2023"/>
    <n v="2000"/>
    <m/>
    <n v="1600"/>
    <n v="140"/>
    <m/>
    <n v="2104977"/>
    <n v="3708"/>
  </r>
  <r>
    <n v="116458"/>
    <m/>
    <n v="10107"/>
    <x v="2"/>
    <s v="Y"/>
    <s v="2023"/>
    <n v="200"/>
    <m/>
    <n v="120"/>
    <n v="20"/>
    <m/>
    <n v="252573.85852069"/>
    <n v="2198.2822253550898"/>
  </r>
  <r>
    <n v="116459"/>
    <m/>
    <n v="10107"/>
    <x v="2"/>
    <s v="Y"/>
    <s v="2023"/>
    <n v="200"/>
    <m/>
    <n v="120"/>
    <n v="20"/>
    <m/>
    <n v="372124.77468935499"/>
    <n v="3080.5070834182302"/>
  </r>
  <r>
    <n v="116460"/>
    <m/>
    <n v="10107"/>
    <x v="2"/>
    <s v="Y"/>
    <s v="2023"/>
    <n v="200"/>
    <m/>
    <n v="120"/>
    <n v="20"/>
    <m/>
    <n v="1745960.28197449"/>
    <n v="6698.2563512527804"/>
  </r>
  <r>
    <n v="129584"/>
    <m/>
    <n v="8550"/>
    <x v="15"/>
    <s v="Y"/>
    <s v="2023"/>
    <n v="350"/>
    <m/>
    <n v="240"/>
    <n v="20"/>
    <m/>
    <n v="3707525.5003033802"/>
    <n v="1332"/>
  </r>
  <r>
    <n v="91824"/>
    <m/>
    <n v="11423"/>
    <x v="16"/>
    <s v="Y"/>
    <s v="2023"/>
    <n v="450"/>
    <m/>
    <n v="220"/>
    <n v="80"/>
    <m/>
    <n v="2880926.8161120098"/>
    <n v="8424.2092810044505"/>
  </r>
  <r>
    <n v="115818"/>
    <m/>
    <n v="7990"/>
    <x v="17"/>
    <s v="Y"/>
    <s v="2023"/>
    <n v="475"/>
    <m/>
    <n v="180"/>
    <n v="60"/>
    <m/>
    <n v="1627907"/>
    <n v="3826"/>
  </r>
  <r>
    <n v="155834"/>
    <m/>
    <n v="7570"/>
    <x v="18"/>
    <s v="Y"/>
    <s v="2023"/>
    <n v="140"/>
    <m/>
    <m/>
    <n v="100"/>
    <m/>
    <n v="1470539.42573612"/>
    <n v="6452.7485335332804"/>
  </r>
  <r>
    <n v="153902"/>
    <m/>
    <n v="7650"/>
    <x v="19"/>
    <s v="Y"/>
    <s v="2023"/>
    <n v="1000"/>
    <m/>
    <n v="1300"/>
    <n v="120"/>
    <m/>
    <n v="528475.86058801506"/>
    <n v="3207.1487779509098"/>
  </r>
  <r>
    <n v="153899"/>
    <m/>
    <n v="7650"/>
    <x v="19"/>
    <s v="Y"/>
    <s v="2023"/>
    <n v="1000"/>
    <m/>
    <n v="1300"/>
    <n v="120"/>
    <m/>
    <n v="922782.57697488496"/>
    <n v="4028.8435733313499"/>
  </r>
  <r>
    <n v="91189"/>
    <m/>
    <n v="10310"/>
    <x v="20"/>
    <s v="Y"/>
    <s v="2023"/>
    <n v="1600"/>
    <m/>
    <n v="880"/>
    <n v="80"/>
    <m/>
    <n v="1612009.39051174"/>
    <n v="6485.7824660243296"/>
  </r>
  <r>
    <n v="90229"/>
    <m/>
    <n v="7170"/>
    <x v="21"/>
    <s v="Y"/>
    <s v="2023"/>
    <n v="1450"/>
    <m/>
    <n v="420"/>
    <n v="80"/>
    <m/>
    <n v="5019913.4543942604"/>
    <n v="1694"/>
  </r>
  <r>
    <n v="90230"/>
    <m/>
    <n v="8920"/>
    <x v="22"/>
    <s v="Y"/>
    <s v="2023"/>
    <n v="2000"/>
    <m/>
    <n v="1600"/>
    <n v="140"/>
    <m/>
    <n v="974762.31760765996"/>
    <n v="3966.6969571794102"/>
  </r>
  <r>
    <n v="90231"/>
    <m/>
    <n v="8920"/>
    <x v="22"/>
    <s v="Y"/>
    <s v="2023"/>
    <n v="2000"/>
    <m/>
    <n v="1600"/>
    <n v="140"/>
    <m/>
    <n v="1397422"/>
    <n v="2927"/>
  </r>
  <r>
    <n v="90232"/>
    <m/>
    <n v="8560"/>
    <x v="23"/>
    <s v="Y"/>
    <s v="2023"/>
    <n v="700"/>
    <m/>
    <n v="720"/>
    <n v="80"/>
    <m/>
    <n v="48803.375306069996"/>
    <n v="954.96936097202797"/>
  </r>
  <r>
    <n v="144623"/>
    <m/>
    <n v="7694"/>
    <x v="24"/>
    <s v="Y"/>
    <s v="2023"/>
    <n v="1500"/>
    <m/>
    <n v="1180"/>
    <m/>
    <m/>
    <n v="164186.81402535501"/>
    <n v="1868.17989313566"/>
  </r>
  <r>
    <n v="144621"/>
    <m/>
    <n v="7694"/>
    <x v="24"/>
    <s v="Y"/>
    <s v="2023"/>
    <n v="1500"/>
    <m/>
    <n v="1180"/>
    <m/>
    <m/>
    <n v="159721.05688505"/>
    <n v="1762.9592927685101"/>
  </r>
  <r>
    <n v="144629"/>
    <m/>
    <n v="7694"/>
    <x v="24"/>
    <s v="Y"/>
    <s v="2023"/>
    <n v="1500"/>
    <m/>
    <n v="1180"/>
    <m/>
    <m/>
    <n v="236082.90814273499"/>
    <n v="2032.8093201715999"/>
  </r>
  <r>
    <n v="144630"/>
    <m/>
    <n v="7694"/>
    <x v="24"/>
    <s v="Y"/>
    <s v="2023"/>
    <n v="1500"/>
    <m/>
    <n v="1180"/>
    <m/>
    <m/>
    <n v="222125.718178735"/>
    <n v="2184.8760848983002"/>
  </r>
  <r>
    <n v="144622"/>
    <m/>
    <n v="7694"/>
    <x v="24"/>
    <s v="Y"/>
    <s v="2023"/>
    <n v="1500"/>
    <m/>
    <n v="1180"/>
    <m/>
    <m/>
    <n v="79644.25754536"/>
    <n v="1165.62687577819"/>
  </r>
  <r>
    <n v="144620"/>
    <m/>
    <n v="7694"/>
    <x v="24"/>
    <s v="Y"/>
    <s v="2023"/>
    <n v="1500"/>
    <m/>
    <n v="1180"/>
    <m/>
    <m/>
    <n v="473228.52595530503"/>
    <n v="3927.9773290384501"/>
  </r>
  <r>
    <n v="144628"/>
    <m/>
    <n v="7694"/>
    <x v="24"/>
    <s v="Y"/>
    <s v="2023"/>
    <n v="1500"/>
    <m/>
    <n v="1180"/>
    <m/>
    <m/>
    <n v="811497.58854270005"/>
    <n v="5418.0523422333999"/>
  </r>
  <r>
    <n v="144625"/>
    <m/>
    <n v="7694"/>
    <x v="24"/>
    <s v="Y"/>
    <s v="2023"/>
    <n v="1500"/>
    <m/>
    <n v="1180"/>
    <m/>
    <m/>
    <n v="1205865.7362492499"/>
    <n v="5487.4265083963501"/>
  </r>
  <r>
    <n v="144626"/>
    <m/>
    <n v="7694"/>
    <x v="24"/>
    <s v="Y"/>
    <s v="2023"/>
    <n v="1500"/>
    <m/>
    <n v="1180"/>
    <m/>
    <m/>
    <n v="454552.99105270498"/>
    <n v="3369.0412039784801"/>
  </r>
  <r>
    <n v="144627"/>
    <m/>
    <n v="7694"/>
    <x v="24"/>
    <s v="Y"/>
    <s v="2023"/>
    <n v="1500"/>
    <m/>
    <n v="1180"/>
    <m/>
    <m/>
    <n v="309320.55162818002"/>
    <n v="2374.3359659125099"/>
  </r>
  <r>
    <n v="144624"/>
    <m/>
    <n v="7694"/>
    <x v="24"/>
    <s v="Y"/>
    <s v="2023"/>
    <n v="1500"/>
    <m/>
    <n v="1180"/>
    <m/>
    <m/>
    <n v="302577.922990555"/>
    <n v="2389.2352537481001"/>
  </r>
  <r>
    <n v="95023"/>
    <m/>
    <n v="7694"/>
    <x v="24"/>
    <s v="Y"/>
    <s v="2023"/>
    <n v="1500"/>
    <m/>
    <n v="1180"/>
    <m/>
    <m/>
    <n v="1153800.9531077901"/>
    <n v="8181.15831800264"/>
  </r>
  <r>
    <n v="95024"/>
    <m/>
    <n v="7694"/>
    <x v="24"/>
    <s v="Y"/>
    <s v="2023"/>
    <n v="1500"/>
    <m/>
    <n v="1180"/>
    <m/>
    <m/>
    <n v="1198779.91470708"/>
    <n v="5482.1625229492802"/>
  </r>
  <r>
    <n v="95025"/>
    <m/>
    <n v="7694"/>
    <x v="24"/>
    <s v="Y"/>
    <s v="2023"/>
    <n v="1500"/>
    <m/>
    <n v="1180"/>
    <m/>
    <m/>
    <n v="221728.25396997001"/>
    <n v="2176.3393345238501"/>
  </r>
  <r>
    <n v="92139"/>
    <m/>
    <n v="7640"/>
    <x v="25"/>
    <s v="Y"/>
    <s v="2023"/>
    <n v="600"/>
    <m/>
    <n v="380"/>
    <m/>
    <m/>
    <n v="2048353.84140832"/>
    <n v="6695.5782687352303"/>
  </r>
  <r>
    <n v="136622"/>
    <m/>
    <n v="7640"/>
    <x v="25"/>
    <s v="Y"/>
    <s v="2023"/>
    <n v="600"/>
    <m/>
    <n v="380"/>
    <m/>
    <m/>
    <n v="510461.00753877999"/>
    <n v="3367.8357271180598"/>
  </r>
  <r>
    <n v="90233"/>
    <m/>
    <n v="8150"/>
    <x v="26"/>
    <s v="Y"/>
    <s v="2023"/>
    <n v="210"/>
    <m/>
    <n v="300"/>
    <n v="70"/>
    <m/>
    <n v="2399712.9208434299"/>
    <n v="9392.0897707162294"/>
  </r>
  <r>
    <n v="129587"/>
    <m/>
    <n v="8070"/>
    <x v="27"/>
    <s v="Y"/>
    <s v="2023"/>
    <n v="750"/>
    <m/>
    <n v="700"/>
    <n v="60"/>
    <m/>
    <n v="980279.81520874996"/>
    <n v="4529.3523909538699"/>
  </r>
  <r>
    <n v="129589"/>
    <m/>
    <n v="8070"/>
    <x v="27"/>
    <s v="Y"/>
    <s v="2023"/>
    <n v="750"/>
    <m/>
    <n v="700"/>
    <n v="60"/>
    <m/>
    <n v="524295.27714924002"/>
    <n v="3058.4211177103898"/>
  </r>
  <r>
    <n v="129585"/>
    <m/>
    <n v="8070"/>
    <x v="27"/>
    <s v="Y"/>
    <s v="2023"/>
    <n v="750"/>
    <m/>
    <n v="700"/>
    <n v="60"/>
    <m/>
    <n v="414488.29422003502"/>
    <n v="2575.7603293799002"/>
  </r>
  <r>
    <n v="129588"/>
    <m/>
    <n v="8070"/>
    <x v="27"/>
    <s v="Y"/>
    <s v="2023"/>
    <n v="750"/>
    <m/>
    <n v="700"/>
    <n v="60"/>
    <m/>
    <n v="506017.18253007502"/>
    <n v="3470.2441499535798"/>
  </r>
  <r>
    <n v="129586"/>
    <m/>
    <n v="8070"/>
    <x v="27"/>
    <s v="Y"/>
    <s v="2023"/>
    <n v="750"/>
    <m/>
    <n v="700"/>
    <n v="60"/>
    <m/>
    <n v="704112.31304147001"/>
    <n v="4610.5197655519696"/>
  </r>
  <r>
    <n v="129590"/>
    <m/>
    <n v="8070"/>
    <x v="27"/>
    <s v="Y"/>
    <s v="2023"/>
    <n v="750"/>
    <m/>
    <n v="700"/>
    <n v="60"/>
    <m/>
    <n v="246566.786111425"/>
    <n v="2447.6688825157498"/>
  </r>
  <r>
    <n v="129591"/>
    <m/>
    <n v="8070"/>
    <x v="27"/>
    <s v="Y"/>
    <s v="2023"/>
    <n v="750"/>
    <m/>
    <n v="700"/>
    <n v="60"/>
    <m/>
    <n v="1319067.09201256"/>
    <n v="5998.8855742503501"/>
  </r>
  <r>
    <n v="154538"/>
    <m/>
    <n v="7494"/>
    <x v="28"/>
    <s v="Y"/>
    <s v="2023"/>
    <n v="4741"/>
    <m/>
    <n v="2000"/>
    <n v="180"/>
    <m/>
    <n v="1918687"/>
    <n v="9108"/>
  </r>
  <r>
    <n v="154219"/>
    <m/>
    <n v="7090"/>
    <x v="29"/>
    <s v="Y"/>
    <s v="2023"/>
    <n v="2000"/>
    <m/>
    <n v="1100"/>
    <n v="120"/>
    <m/>
    <n v="8147541.94938468"/>
    <n v="3765"/>
  </r>
  <r>
    <n v="94707"/>
    <m/>
    <n v="7560"/>
    <x v="30"/>
    <s v="Y"/>
    <s v="2023"/>
    <n v="300"/>
    <m/>
    <n v="140"/>
    <n v="40"/>
    <m/>
    <n v="2799174.6829624898"/>
    <n v="8210.0989950712101"/>
  </r>
  <r>
    <n v="153901"/>
    <m/>
    <n v="7650"/>
    <x v="19"/>
    <s v="Y"/>
    <s v="2023"/>
    <n v="1000"/>
    <m/>
    <n v="1300"/>
    <n v="120"/>
    <m/>
    <n v="945472.83999184496"/>
    <n v="4204.23251770553"/>
  </r>
  <r>
    <n v="153900"/>
    <m/>
    <n v="7650"/>
    <x v="19"/>
    <s v="Y"/>
    <s v="2023"/>
    <n v="1000"/>
    <m/>
    <n v="1300"/>
    <n v="120"/>
    <m/>
    <n v="421038.54729861999"/>
    <n v="3027.6871809857798"/>
  </r>
  <r>
    <n v="153898"/>
    <m/>
    <n v="7650"/>
    <x v="19"/>
    <s v="Y"/>
    <s v="2023"/>
    <n v="1000"/>
    <m/>
    <n v="1300"/>
    <n v="120"/>
    <m/>
    <n v="855807.77742949501"/>
    <n v="4423.0906709380297"/>
  </r>
  <r>
    <n v="94385"/>
    <m/>
    <n v="7684"/>
    <x v="31"/>
    <s v="Y"/>
    <s v="2023"/>
    <n v="3700"/>
    <m/>
    <n v="1600"/>
    <n v="160"/>
    <m/>
    <n v="368328.61969591002"/>
    <n v="2521.1664197550999"/>
  </r>
  <r>
    <n v="94378"/>
    <m/>
    <n v="7684"/>
    <x v="31"/>
    <s v="Y"/>
    <s v="2023"/>
    <n v="3700"/>
    <m/>
    <n v="1600"/>
    <n v="160"/>
    <m/>
    <n v="144679.234863705"/>
    <n v="2002.0678522330099"/>
  </r>
  <r>
    <n v="94381"/>
    <m/>
    <n v="7684"/>
    <x v="31"/>
    <s v="Y"/>
    <s v="2023"/>
    <n v="3700"/>
    <m/>
    <n v="1600"/>
    <n v="160"/>
    <m/>
    <n v="110419.530688075"/>
    <n v="1361.51963196888"/>
  </r>
  <r>
    <n v="94379"/>
    <m/>
    <n v="7684"/>
    <x v="31"/>
    <s v="Y"/>
    <s v="2023"/>
    <n v="3700"/>
    <m/>
    <n v="1600"/>
    <n v="160"/>
    <m/>
    <n v="109014.37901847"/>
    <n v="1855.26132502718"/>
  </r>
  <r>
    <n v="94384"/>
    <m/>
    <n v="7684"/>
    <x v="31"/>
    <s v="Y"/>
    <s v="2023"/>
    <n v="3700"/>
    <m/>
    <n v="1600"/>
    <n v="160"/>
    <m/>
    <n v="177505.14502778501"/>
    <n v="2435.4377357998001"/>
  </r>
  <r>
    <n v="94383"/>
    <m/>
    <n v="7684"/>
    <x v="31"/>
    <s v="Y"/>
    <s v="2023"/>
    <n v="3700"/>
    <m/>
    <n v="1600"/>
    <n v="160"/>
    <m/>
    <n v="298279.01521807001"/>
    <n v="2512.8554988646501"/>
  </r>
  <r>
    <n v="94382"/>
    <m/>
    <n v="7684"/>
    <x v="31"/>
    <s v="Y"/>
    <s v="2023"/>
    <n v="3700"/>
    <m/>
    <n v="1600"/>
    <n v="160"/>
    <m/>
    <n v="138972.92307332499"/>
    <n v="1538.0613536594001"/>
  </r>
  <r>
    <n v="94380"/>
    <m/>
    <n v="7684"/>
    <x v="31"/>
    <s v="Y"/>
    <s v="2023"/>
    <n v="3700"/>
    <m/>
    <n v="1600"/>
    <n v="160"/>
    <m/>
    <n v="980277.58873993997"/>
    <n v="4470.5282413634404"/>
  </r>
  <r>
    <n v="92142"/>
    <m/>
    <n v="9263"/>
    <x v="32"/>
    <s v="Y"/>
    <s v="2023"/>
    <n v="275"/>
    <m/>
    <n v="340"/>
    <n v="60"/>
    <m/>
    <n v="1868502.4717810501"/>
    <n v="1294"/>
  </r>
  <r>
    <n v="112938"/>
    <m/>
    <n v="9263"/>
    <x v="32"/>
    <s v="Y"/>
    <s v="2023"/>
    <n v="275"/>
    <m/>
    <n v="340"/>
    <n v="60"/>
    <m/>
    <n v="204733.38321180499"/>
    <n v="2165.8058196217698"/>
  </r>
  <r>
    <n v="92143"/>
    <m/>
    <n v="8790"/>
    <x v="33"/>
    <s v="Y"/>
    <s v="2023"/>
    <n v="1500"/>
    <m/>
    <n v="920"/>
    <n v="100"/>
    <m/>
    <n v="1750262"/>
    <n v="5094"/>
  </r>
  <r>
    <n v="94389"/>
    <m/>
    <n v="7800"/>
    <x v="34"/>
    <s v="Y"/>
    <s v="2023"/>
    <n v="2950"/>
    <m/>
    <n v="1300"/>
    <n v="120"/>
    <m/>
    <n v="1379572.56456585"/>
    <n v="5209.4880552079503"/>
  </r>
  <r>
    <n v="94386"/>
    <m/>
    <n v="7800"/>
    <x v="34"/>
    <s v="Y"/>
    <s v="2023"/>
    <n v="2950"/>
    <m/>
    <n v="1300"/>
    <n v="120"/>
    <m/>
    <n v="96271.323011745"/>
    <n v="1310.6966594185501"/>
  </r>
  <r>
    <n v="94388"/>
    <m/>
    <n v="7800"/>
    <x v="34"/>
    <s v="Y"/>
    <s v="2023"/>
    <n v="2950"/>
    <m/>
    <n v="1300"/>
    <n v="120"/>
    <m/>
    <n v="328235.34820607002"/>
    <n v="2514.5788889160799"/>
  </r>
  <r>
    <n v="94390"/>
    <m/>
    <n v="7800"/>
    <x v="34"/>
    <s v="Y"/>
    <s v="2023"/>
    <n v="2950"/>
    <m/>
    <n v="1300"/>
    <n v="120"/>
    <m/>
    <n v="217776.30183630501"/>
    <n v="2265.9669499097899"/>
  </r>
  <r>
    <n v="94387"/>
    <m/>
    <n v="7800"/>
    <x v="34"/>
    <s v="Y"/>
    <s v="2023"/>
    <n v="2950"/>
    <m/>
    <n v="1300"/>
    <n v="120"/>
    <m/>
    <n v="1836051.1404295799"/>
    <n v="6113.2140982128103"/>
  </r>
  <r>
    <n v="94392"/>
    <m/>
    <n v="7800"/>
    <x v="34"/>
    <s v="Y"/>
    <s v="2023"/>
    <n v="2950"/>
    <m/>
    <n v="1300"/>
    <n v="120"/>
    <m/>
    <n v="1159155.00023205"/>
    <n v="5062.5338751202798"/>
  </r>
  <r>
    <n v="94391"/>
    <m/>
    <n v="7800"/>
    <x v="34"/>
    <s v="Y"/>
    <s v="2023"/>
    <n v="2950"/>
    <m/>
    <n v="1300"/>
    <n v="120"/>
    <m/>
    <n v="1580212.41684211"/>
    <n v="7511.3606991966899"/>
  </r>
  <r>
    <n v="94396"/>
    <m/>
    <n v="8270"/>
    <x v="35"/>
    <s v="Y"/>
    <s v="2023"/>
    <n v="1550"/>
    <m/>
    <n v="500"/>
    <n v="80"/>
    <m/>
    <n v="1712060.6465161"/>
    <n v="8346.8532880762104"/>
  </r>
  <r>
    <n v="94393"/>
    <m/>
    <n v="8310"/>
    <x v="36"/>
    <s v="Y"/>
    <s v="2023"/>
    <n v="1000"/>
    <m/>
    <n v="440"/>
    <n v="60"/>
    <m/>
    <n v="1779379.0099267999"/>
    <n v="7292.5399186004697"/>
  </r>
  <r>
    <n v="94394"/>
    <m/>
    <n v="8310"/>
    <x v="36"/>
    <s v="Y"/>
    <s v="2023"/>
    <n v="1000"/>
    <m/>
    <n v="440"/>
    <n v="60"/>
    <m/>
    <n v="3000574.3171236599"/>
    <n v="1345"/>
  </r>
  <r>
    <n v="94400"/>
    <m/>
    <n v="8812"/>
    <x v="37"/>
    <s v="Y"/>
    <s v="2023"/>
    <n v="6760"/>
    <m/>
    <n v="2780"/>
    <n v="240"/>
    <m/>
    <n v="573162.00752719503"/>
    <n v="3512.5469552621698"/>
  </r>
  <r>
    <n v="94403"/>
    <m/>
    <n v="8812"/>
    <x v="37"/>
    <s v="Y"/>
    <s v="2023"/>
    <n v="6760"/>
    <m/>
    <n v="2780"/>
    <n v="240"/>
    <m/>
    <n v="599245.37811257003"/>
    <n v="3603.3357440610398"/>
  </r>
  <r>
    <n v="94401"/>
    <m/>
    <n v="8812"/>
    <x v="37"/>
    <s v="Y"/>
    <s v="2023"/>
    <n v="6760"/>
    <m/>
    <n v="2780"/>
    <n v="240"/>
    <m/>
    <n v="890391.06280445994"/>
    <n v="4146.5550918750896"/>
  </r>
  <r>
    <n v="94402"/>
    <m/>
    <n v="8812"/>
    <x v="37"/>
    <s v="Y"/>
    <s v="2023"/>
    <n v="6760"/>
    <m/>
    <n v="2780"/>
    <n v="240"/>
    <m/>
    <n v="524670.74653424497"/>
    <n v="3802.8042836852101"/>
  </r>
  <r>
    <n v="94406"/>
    <m/>
    <n v="8812"/>
    <x v="37"/>
    <s v="Y"/>
    <s v="2023"/>
    <n v="6760"/>
    <m/>
    <n v="2780"/>
    <n v="240"/>
    <m/>
    <n v="1516747.26826117"/>
    <n v="6517.9897037256796"/>
  </r>
  <r>
    <n v="94405"/>
    <m/>
    <n v="8812"/>
    <x v="37"/>
    <s v="Y"/>
    <s v="2023"/>
    <n v="6760"/>
    <m/>
    <n v="2780"/>
    <n v="240"/>
    <m/>
    <n v="594522.72639775998"/>
    <n v="3617.1395591922701"/>
  </r>
  <r>
    <n v="94404"/>
    <m/>
    <n v="8812"/>
    <x v="37"/>
    <s v="Y"/>
    <s v="2023"/>
    <n v="6760"/>
    <m/>
    <n v="2780"/>
    <n v="240"/>
    <m/>
    <n v="1203075.1819497601"/>
    <n v="6933.44172203568"/>
  </r>
  <r>
    <n v="94398"/>
    <m/>
    <n v="8812"/>
    <x v="37"/>
    <s v="Y"/>
    <s v="2023"/>
    <n v="6760"/>
    <m/>
    <n v="2780"/>
    <n v="240"/>
    <m/>
    <n v="1219357.4027156699"/>
    <n v="8090.5089220357904"/>
  </r>
  <r>
    <n v="94397"/>
    <m/>
    <n v="8812"/>
    <x v="37"/>
    <s v="Y"/>
    <s v="2023"/>
    <n v="6760"/>
    <m/>
    <n v="2780"/>
    <n v="240"/>
    <m/>
    <n v="1465410.4183280801"/>
    <n v="7451.6791073136801"/>
  </r>
  <r>
    <n v="94399"/>
    <m/>
    <n v="8812"/>
    <x v="37"/>
    <s v="Y"/>
    <s v="2023"/>
    <n v="6760"/>
    <m/>
    <n v="2780"/>
    <n v="240"/>
    <m/>
    <n v="535321.44107612001"/>
    <n v="3284.5844942191602"/>
  </r>
  <r>
    <n v="94407"/>
    <m/>
    <n v="8812"/>
    <x v="37"/>
    <s v="Y"/>
    <s v="2023"/>
    <n v="6760"/>
    <m/>
    <n v="2780"/>
    <n v="240"/>
    <m/>
    <n v="282826.59359241999"/>
    <n v="2314.2105240505298"/>
  </r>
  <r>
    <n v="91828"/>
    <m/>
    <n v="7250"/>
    <x v="38"/>
    <s v="Y"/>
    <s v="2023"/>
    <n v="3500"/>
    <m/>
    <n v="2380"/>
    <n v="200"/>
    <m/>
    <n v="1275915"/>
    <n v="2234"/>
  </r>
  <r>
    <n v="91828"/>
    <m/>
    <n v="7250"/>
    <x v="38"/>
    <s v="Y"/>
    <s v="2023"/>
    <n v="3500"/>
    <m/>
    <n v="2380"/>
    <n v="200"/>
    <m/>
    <n v="1275915"/>
    <n v="2234"/>
  </r>
  <r>
    <n v="91829"/>
    <m/>
    <n v="7250"/>
    <x v="38"/>
    <s v="Y"/>
    <s v="2023"/>
    <n v="3500"/>
    <m/>
    <n v="2380"/>
    <n v="200"/>
    <m/>
    <n v="1571689.39370982"/>
    <n v="6438.0664315887898"/>
  </r>
  <r>
    <n v="91829"/>
    <m/>
    <n v="7250"/>
    <x v="38"/>
    <s v="Y"/>
    <s v="2023"/>
    <n v="3500"/>
    <m/>
    <n v="2380"/>
    <n v="200"/>
    <m/>
    <n v="1571689.39370982"/>
    <n v="6438.0664315887898"/>
  </r>
  <r>
    <n v="91830"/>
    <m/>
    <n v="7095"/>
    <x v="39"/>
    <s v="Y"/>
    <s v="2023"/>
    <n v="1980"/>
    <m/>
    <n v="1200"/>
    <n v="120"/>
    <m/>
    <n v="4630484.4550378704"/>
    <n v="1220"/>
  </r>
  <r>
    <n v="92145"/>
    <m/>
    <n v="11387"/>
    <x v="16"/>
    <s v="Y"/>
    <s v="2023"/>
    <n v="490"/>
    <m/>
    <n v="300"/>
    <n v="60"/>
    <m/>
    <n v="1896796.26342481"/>
    <n v="9656.2190291582501"/>
  </r>
  <r>
    <n v="93740"/>
    <m/>
    <n v="9493"/>
    <x v="40"/>
    <s v="Y"/>
    <s v="2023"/>
    <n v="1000"/>
    <m/>
    <n v="640"/>
    <n v="100"/>
    <m/>
    <n v="4473445.1447146898"/>
    <n v="1141"/>
  </r>
  <r>
    <n v="93739"/>
    <m/>
    <n v="9493"/>
    <x v="40"/>
    <s v="Y"/>
    <s v="2023"/>
    <n v="1000"/>
    <m/>
    <n v="640"/>
    <n v="100"/>
    <m/>
    <n v="1693995.50572233"/>
    <n v="5417.9847310199602"/>
  </r>
  <r>
    <n v="129258"/>
    <m/>
    <n v="7450"/>
    <x v="41"/>
    <s v="Y"/>
    <s v="2023"/>
    <n v="2800"/>
    <m/>
    <n v="1640"/>
    <n v="180"/>
    <m/>
    <n v="2586323"/>
    <n v="3266"/>
  </r>
  <r>
    <n v="91833"/>
    <m/>
    <n v="7540"/>
    <x v="42"/>
    <s v="Y"/>
    <s v="2023"/>
    <n v="1450"/>
    <m/>
    <n v="960"/>
    <n v="80"/>
    <m/>
    <n v="503610.76146011002"/>
    <n v="2998.2659434194402"/>
  </r>
  <r>
    <n v="92138"/>
    <m/>
    <n v="7540"/>
    <x v="42"/>
    <s v="Y"/>
    <s v="2023"/>
    <n v="1450"/>
    <m/>
    <n v="960"/>
    <n v="80"/>
    <m/>
    <n v="9166904.1892167907"/>
    <n v="1574"/>
  </r>
  <r>
    <n v="136620"/>
    <m/>
    <n v="8170"/>
    <x v="43"/>
    <s v="Y"/>
    <s v="2023"/>
    <n v="1000"/>
    <m/>
    <n v="300"/>
    <n v="40"/>
    <m/>
    <n v="6212602.8732270999"/>
    <n v="1791"/>
  </r>
  <r>
    <n v="114221"/>
    <m/>
    <n v="8600"/>
    <x v="44"/>
    <s v="Y"/>
    <s v="2023"/>
    <n v="1600"/>
    <m/>
    <n v="500"/>
    <n v="40"/>
    <m/>
    <n v="1454877"/>
    <n v="4695"/>
  </r>
  <r>
    <n v="90544"/>
    <m/>
    <n v="8100"/>
    <x v="45"/>
    <s v="Y"/>
    <s v="2023"/>
    <n v="650"/>
    <m/>
    <n v="500"/>
    <n v="60"/>
    <m/>
    <n v="8251474.9268952897"/>
    <n v="2173"/>
  </r>
  <r>
    <n v="90547"/>
    <m/>
    <n v="7815"/>
    <x v="46"/>
    <s v="Y"/>
    <s v="2023"/>
    <m/>
    <m/>
    <n v="200"/>
    <m/>
    <m/>
    <n v="83923.453997195"/>
    <n v="1308.1531390320499"/>
  </r>
  <r>
    <n v="90548"/>
    <m/>
    <n v="7815"/>
    <x v="46"/>
    <s v="Y"/>
    <s v="2023"/>
    <m/>
    <m/>
    <n v="200"/>
    <m/>
    <m/>
    <n v="98537.145356520006"/>
    <n v="1312.4992264918101"/>
  </r>
  <r>
    <n v="90549"/>
    <m/>
    <n v="7815"/>
    <x v="46"/>
    <s v="Y"/>
    <s v="2023"/>
    <m/>
    <m/>
    <n v="200"/>
    <m/>
    <m/>
    <n v="574466.26464389998"/>
    <n v="3074.9424466894902"/>
  </r>
  <r>
    <n v="90551"/>
    <m/>
    <n v="7215"/>
    <x v="47"/>
    <s v="Y"/>
    <s v="2023"/>
    <m/>
    <m/>
    <n v="160"/>
    <m/>
    <m/>
    <n v="143596.802871825"/>
    <n v="3355.4861179319901"/>
  </r>
  <r>
    <n v="90550"/>
    <m/>
    <n v="7215"/>
    <x v="47"/>
    <s v="Y"/>
    <s v="2023"/>
    <m/>
    <m/>
    <n v="160"/>
    <m/>
    <m/>
    <n v="421364.81053429999"/>
    <n v="2943.4176378944899"/>
  </r>
  <r>
    <n v="144632"/>
    <m/>
    <n v="10243"/>
    <x v="48"/>
    <s v="Y"/>
    <s v="2023"/>
    <m/>
    <m/>
    <n v="280"/>
    <n v="60"/>
    <m/>
    <n v="661522.686860585"/>
    <n v="3824.7731344035001"/>
  </r>
  <r>
    <n v="144618"/>
    <m/>
    <n v="10243"/>
    <x v="48"/>
    <s v="Y"/>
    <s v="2023"/>
    <m/>
    <m/>
    <n v="280"/>
    <n v="60"/>
    <m/>
    <n v="345485.94394684001"/>
    <n v="3660.2141276735101"/>
  </r>
  <r>
    <n v="144619"/>
    <m/>
    <n v="10243"/>
    <x v="48"/>
    <s v="Y"/>
    <s v="2023"/>
    <m/>
    <m/>
    <n v="280"/>
    <n v="60"/>
    <m/>
    <n v="267907.68836225499"/>
    <n v="2297.8950730492202"/>
  </r>
  <r>
    <n v="144631"/>
    <m/>
    <n v="10243"/>
    <x v="48"/>
    <s v="Y"/>
    <s v="2023"/>
    <m/>
    <m/>
    <n v="280"/>
    <n v="60"/>
    <m/>
    <n v="212059.02576130501"/>
    <n v="2107.0143733436098"/>
  </r>
  <r>
    <n v="90553"/>
    <m/>
    <n v="8635"/>
    <x v="49"/>
    <s v="Y"/>
    <s v="2023"/>
    <m/>
    <m/>
    <n v="100"/>
    <m/>
    <m/>
    <n v="50232.416134095001"/>
    <n v="1012.52190418543"/>
  </r>
  <r>
    <n v="90552"/>
    <m/>
    <n v="8635"/>
    <x v="49"/>
    <s v="Y"/>
    <s v="2023"/>
    <m/>
    <m/>
    <n v="100"/>
    <m/>
    <m/>
    <n v="306646.31832406"/>
    <n v="2294.2015078059999"/>
  </r>
  <r>
    <n v="129908"/>
    <m/>
    <n v="8870"/>
    <x v="50"/>
    <s v="Y"/>
    <s v="2023"/>
    <n v="3100"/>
    <m/>
    <n v="1560"/>
    <n v="160"/>
    <m/>
    <n v="2195955.3614548598"/>
    <n v="8970.4566512469301"/>
  </r>
  <r>
    <n v="129903"/>
    <m/>
    <n v="8870"/>
    <x v="50"/>
    <s v="Y"/>
    <s v="2023"/>
    <n v="3100"/>
    <m/>
    <n v="1560"/>
    <n v="160"/>
    <m/>
    <n v="625121.08653500001"/>
    <n v="4068.2305181358201"/>
  </r>
  <r>
    <n v="129910"/>
    <m/>
    <n v="8870"/>
    <x v="50"/>
    <s v="Y"/>
    <s v="2023"/>
    <n v="3100"/>
    <m/>
    <n v="1560"/>
    <n v="160"/>
    <m/>
    <n v="1116244.79419316"/>
    <n v="6330.8232345483602"/>
  </r>
  <r>
    <n v="129899"/>
    <m/>
    <n v="8870"/>
    <x v="50"/>
    <s v="Y"/>
    <s v="2023"/>
    <n v="3100"/>
    <m/>
    <n v="1560"/>
    <n v="160"/>
    <m/>
    <n v="2236882.9264586898"/>
    <n v="7244.9115352838899"/>
  </r>
  <r>
    <n v="129907"/>
    <m/>
    <n v="8870"/>
    <x v="50"/>
    <s v="Y"/>
    <s v="2023"/>
    <n v="3100"/>
    <m/>
    <n v="1560"/>
    <n v="160"/>
    <m/>
    <n v="1865214.7770951099"/>
    <n v="6374.3046095977597"/>
  </r>
  <r>
    <n v="129905"/>
    <m/>
    <n v="8870"/>
    <x v="50"/>
    <s v="Y"/>
    <s v="2023"/>
    <n v="3100"/>
    <m/>
    <n v="1560"/>
    <n v="160"/>
    <m/>
    <n v="50638.608063665"/>
    <n v="1219.0339372691799"/>
  </r>
  <r>
    <n v="129900"/>
    <m/>
    <n v="8870"/>
    <x v="50"/>
    <s v="Y"/>
    <s v="2023"/>
    <n v="3100"/>
    <m/>
    <n v="1560"/>
    <n v="160"/>
    <m/>
    <n v="1635004.9902959999"/>
    <n v="6563.4864338378802"/>
  </r>
  <r>
    <n v="129909"/>
    <m/>
    <n v="8870"/>
    <x v="50"/>
    <s v="Y"/>
    <s v="2023"/>
    <n v="3100"/>
    <m/>
    <n v="1560"/>
    <n v="160"/>
    <m/>
    <n v="952666.11228901998"/>
    <n v="3839.89435364268"/>
  </r>
  <r>
    <n v="129906"/>
    <m/>
    <n v="8870"/>
    <x v="50"/>
    <s v="Y"/>
    <s v="2023"/>
    <n v="3100"/>
    <m/>
    <n v="1560"/>
    <n v="160"/>
    <m/>
    <n v="1876576.89277555"/>
    <n v="6726.9740073825396"/>
  </r>
  <r>
    <n v="132138"/>
    <m/>
    <n v="10413"/>
    <x v="51"/>
    <s v="Y"/>
    <s v="2023"/>
    <n v="115"/>
    <m/>
    <n v="100"/>
    <n v="20"/>
    <m/>
    <n v="531419.87849124998"/>
    <n v="4538.1135417519499"/>
  </r>
  <r>
    <n v="156474"/>
    <m/>
    <n v="11599"/>
    <x v="52"/>
    <s v="N"/>
    <s v="2023"/>
    <n v="120"/>
    <m/>
    <n v="20"/>
    <n v="20"/>
    <m/>
    <n v="218964.08509062001"/>
    <n v="2866.6691040728801"/>
  </r>
  <r>
    <n v="96637"/>
    <m/>
    <n v="8110"/>
    <x v="53"/>
    <s v="N"/>
    <s v="2023"/>
    <n v="500"/>
    <m/>
    <n v="140"/>
    <n v="140"/>
    <m/>
    <n v="127152.5103468"/>
    <n v="1761.6266551037299"/>
  </r>
  <r>
    <n v="91500"/>
    <m/>
    <n v="8110"/>
    <x v="53"/>
    <s v="N"/>
    <s v="2023"/>
    <n v="500"/>
    <m/>
    <n v="140"/>
    <n v="140"/>
    <m/>
    <n v="414997.66123532498"/>
    <n v="4552.4952055951899"/>
  </r>
  <r>
    <n v="96633"/>
    <m/>
    <n v="8110"/>
    <x v="53"/>
    <s v="N"/>
    <s v="2023"/>
    <n v="500"/>
    <m/>
    <n v="140"/>
    <n v="140"/>
    <m/>
    <n v="210572.61164938999"/>
    <n v="3275.8778974479601"/>
  </r>
  <r>
    <n v="91501"/>
    <m/>
    <n v="8110"/>
    <x v="53"/>
    <s v="N"/>
    <s v="2023"/>
    <n v="500"/>
    <m/>
    <n v="140"/>
    <n v="140"/>
    <m/>
    <n v="123715.896554705"/>
    <n v="1462.50993585123"/>
  </r>
  <r>
    <n v="91498"/>
    <m/>
    <n v="8110"/>
    <x v="53"/>
    <s v="N"/>
    <s v="2023"/>
    <n v="500"/>
    <m/>
    <n v="140"/>
    <n v="140"/>
    <m/>
    <n v="31387.852648475"/>
    <n v="721.54245095507304"/>
  </r>
  <r>
    <n v="91499"/>
    <m/>
    <n v="8110"/>
    <x v="53"/>
    <s v="N"/>
    <s v="2023"/>
    <n v="500"/>
    <m/>
    <n v="140"/>
    <n v="140"/>
    <m/>
    <n v="237322.748942195"/>
    <n v="2623.6776659432699"/>
  </r>
  <r>
    <n v="91504"/>
    <m/>
    <n v="8110"/>
    <x v="53"/>
    <s v="N"/>
    <s v="2023"/>
    <n v="500"/>
    <m/>
    <n v="140"/>
    <n v="140"/>
    <m/>
    <n v="104886.70712394999"/>
    <n v="2036.98023569918"/>
  </r>
  <r>
    <n v="96636"/>
    <m/>
    <n v="8110"/>
    <x v="53"/>
    <s v="N"/>
    <s v="2023"/>
    <n v="500"/>
    <m/>
    <n v="140"/>
    <n v="140"/>
    <m/>
    <n v="37337.44115115"/>
    <n v="1345.23629483735"/>
  </r>
  <r>
    <n v="94413"/>
    <m/>
    <n v="7240"/>
    <x v="54"/>
    <s v="Y"/>
    <s v="2023"/>
    <n v="1300"/>
    <n v="800"/>
    <n v="400"/>
    <n v="100"/>
    <m/>
    <n v="259616.65427473499"/>
    <n v="2799.1513977919799"/>
  </r>
  <r>
    <n v="94408"/>
    <m/>
    <n v="7240"/>
    <x v="54"/>
    <s v="Y"/>
    <s v="2023"/>
    <n v="1300"/>
    <n v="800"/>
    <n v="400"/>
    <n v="100"/>
    <m/>
    <n v="68509.042987139997"/>
    <n v="1203.8706315279601"/>
  </r>
  <r>
    <n v="94412"/>
    <m/>
    <n v="7240"/>
    <x v="54"/>
    <s v="Y"/>
    <s v="2023"/>
    <n v="1300"/>
    <n v="800"/>
    <n v="400"/>
    <n v="100"/>
    <m/>
    <n v="766310.182518385"/>
    <n v="4367.4752746816703"/>
  </r>
  <r>
    <n v="94410"/>
    <m/>
    <n v="7240"/>
    <x v="54"/>
    <s v="Y"/>
    <s v="2023"/>
    <n v="1300"/>
    <n v="800"/>
    <n v="400"/>
    <n v="100"/>
    <m/>
    <n v="644884.23766028497"/>
    <n v="3214.6448017709499"/>
  </r>
  <r>
    <n v="94415"/>
    <m/>
    <n v="7240"/>
    <x v="54"/>
    <s v="Y"/>
    <s v="2023"/>
    <n v="1300"/>
    <n v="800"/>
    <n v="400"/>
    <n v="100"/>
    <m/>
    <n v="2289499.0451161498"/>
    <n v="1062"/>
  </r>
  <r>
    <n v="94411"/>
    <m/>
    <n v="7240"/>
    <x v="54"/>
    <s v="Y"/>
    <s v="2023"/>
    <n v="1300"/>
    <n v="800"/>
    <n v="400"/>
    <n v="100"/>
    <m/>
    <n v="302471.40077612503"/>
    <n v="3019.7712662685099"/>
  </r>
  <r>
    <n v="94414"/>
    <m/>
    <n v="7240"/>
    <x v="54"/>
    <s v="Y"/>
    <s v="2023"/>
    <n v="1300"/>
    <n v="800"/>
    <n v="400"/>
    <n v="100"/>
    <m/>
    <n v="100995.19351124"/>
    <n v="1592.26119085046"/>
  </r>
  <r>
    <n v="94409"/>
    <m/>
    <n v="7240"/>
    <x v="54"/>
    <s v="Y"/>
    <s v="2023"/>
    <n v="1300"/>
    <n v="800"/>
    <n v="400"/>
    <n v="100"/>
    <m/>
    <n v="824245.58927295997"/>
    <n v="4322.2014746078303"/>
  </r>
  <r>
    <n v="94066"/>
    <m/>
    <n v="7430"/>
    <x v="55"/>
    <s v="N"/>
    <s v="2023"/>
    <n v="1500"/>
    <n v="840"/>
    <n v="800"/>
    <m/>
    <m/>
    <n v="1369866"/>
    <n v="2123"/>
  </r>
  <r>
    <n v="92144"/>
    <m/>
    <n v="9260"/>
    <x v="56"/>
    <s v="Y"/>
    <s v="2023"/>
    <n v="5000"/>
    <n v="3500"/>
    <n v="3340"/>
    <n v="100"/>
    <m/>
    <n v="8650884"/>
    <n v="2294"/>
  </r>
  <r>
    <n v="91182"/>
    <m/>
    <n v="10102"/>
    <x v="48"/>
    <s v="Y"/>
    <s v="2023"/>
    <n v="475"/>
    <n v="220"/>
    <n v="220"/>
    <n v="60"/>
    <m/>
    <n v="2549635.1473134202"/>
    <n v="8805.4559062543194"/>
  </r>
  <r>
    <n v="94419"/>
    <m/>
    <n v="7740"/>
    <x v="57"/>
    <s v="Y"/>
    <s v="2023"/>
    <n v="2000"/>
    <n v="1120"/>
    <n v="1120"/>
    <n v="120"/>
    <m/>
    <n v="2391985.7453413699"/>
    <n v="8716.1552082694798"/>
  </r>
  <r>
    <n v="94424"/>
    <m/>
    <n v="7740"/>
    <x v="57"/>
    <s v="Y"/>
    <s v="2023"/>
    <n v="2000"/>
    <n v="1120"/>
    <n v="1120"/>
    <n v="120"/>
    <m/>
    <n v="648619.85433025996"/>
    <n v="4253.9729578204597"/>
  </r>
  <r>
    <n v="94417"/>
    <m/>
    <n v="7740"/>
    <x v="57"/>
    <s v="Y"/>
    <s v="2023"/>
    <n v="2000"/>
    <n v="1120"/>
    <n v="1120"/>
    <n v="120"/>
    <m/>
    <n v="1162036.90245486"/>
    <n v="6396.5853297224103"/>
  </r>
  <r>
    <n v="94422"/>
    <m/>
    <n v="7740"/>
    <x v="57"/>
    <s v="Y"/>
    <s v="2023"/>
    <n v="2000"/>
    <n v="1120"/>
    <n v="1120"/>
    <n v="120"/>
    <m/>
    <n v="970873.60720160999"/>
    <n v="4208.1733898170896"/>
  </r>
  <r>
    <n v="94421"/>
    <m/>
    <n v="7740"/>
    <x v="57"/>
    <s v="Y"/>
    <s v="2023"/>
    <n v="2000"/>
    <n v="1120"/>
    <n v="1120"/>
    <n v="120"/>
    <m/>
    <n v="836668.09028865001"/>
    <n v="4105.8494454599404"/>
  </r>
  <r>
    <n v="94425"/>
    <m/>
    <n v="7740"/>
    <x v="57"/>
    <s v="Y"/>
    <s v="2023"/>
    <n v="2000"/>
    <n v="1120"/>
    <n v="1120"/>
    <n v="120"/>
    <m/>
    <n v="585401.76306389505"/>
    <n v="3212.48568705048"/>
  </r>
  <r>
    <n v="94423"/>
    <m/>
    <n v="7740"/>
    <x v="57"/>
    <s v="Y"/>
    <s v="2023"/>
    <n v="2000"/>
    <n v="1120"/>
    <n v="1120"/>
    <n v="120"/>
    <m/>
    <n v="509433.83738093497"/>
    <n v="2961.0561159528102"/>
  </r>
  <r>
    <n v="94418"/>
    <m/>
    <n v="7740"/>
    <x v="57"/>
    <s v="Y"/>
    <s v="2023"/>
    <n v="2000"/>
    <n v="1120"/>
    <n v="1120"/>
    <n v="120"/>
    <m/>
    <n v="408937.793776265"/>
    <n v="3070.8131105807201"/>
  </r>
  <r>
    <n v="94420"/>
    <m/>
    <n v="7740"/>
    <x v="57"/>
    <s v="Y"/>
    <s v="2023"/>
    <n v="2000"/>
    <n v="1120"/>
    <n v="1120"/>
    <n v="120"/>
    <m/>
    <n v="830675.23861318501"/>
    <n v="3887.0947146226499"/>
  </r>
  <r>
    <n v="94416"/>
    <m/>
    <n v="7740"/>
    <x v="57"/>
    <s v="Y"/>
    <s v="2023"/>
    <n v="2000"/>
    <n v="1120"/>
    <n v="1120"/>
    <n v="120"/>
    <m/>
    <n v="623158.80695909495"/>
    <n v="3607.7933970623699"/>
  </r>
  <r>
    <n v="91180"/>
    <m/>
    <n v="8581"/>
    <x v="58"/>
    <s v="Y"/>
    <s v="2023"/>
    <n v="500"/>
    <n v="200"/>
    <n v="200"/>
    <n v="60"/>
    <m/>
    <n v="2905567.71438235"/>
    <n v="1133"/>
  </r>
  <r>
    <n v="93418"/>
    <m/>
    <n v="7735"/>
    <x v="59"/>
    <s v="Y"/>
    <s v="2023"/>
    <n v="1300"/>
    <n v="720"/>
    <n v="500"/>
    <n v="100"/>
    <s v="Bell Center Unit only; no stocking in Wauzeka Unit"/>
    <n v="1074959.2940551999"/>
    <n v="4185.8465405624502"/>
  </r>
  <r>
    <n v="93419"/>
    <m/>
    <n v="7735"/>
    <x v="59"/>
    <s v="Y"/>
    <s v="2023"/>
    <n v="1300"/>
    <n v="720"/>
    <n v="500"/>
    <n v="100"/>
    <s v="Bell Center Unit only; no stocking in Wauzeka Unit"/>
    <n v="665285.97257459001"/>
    <n v="3335.4648874653799"/>
  </r>
  <r>
    <n v="93422"/>
    <m/>
    <n v="7735"/>
    <x v="59"/>
    <s v="Y"/>
    <s v="2023"/>
    <n v="1300"/>
    <n v="720"/>
    <n v="500"/>
    <n v="100"/>
    <s v="Bell Center Unit only; no stocking in Wauzeka Unit"/>
    <n v="255687.23056749001"/>
    <n v="3382.9650933937201"/>
  </r>
  <r>
    <n v="93421"/>
    <m/>
    <n v="7735"/>
    <x v="59"/>
    <s v="Y"/>
    <s v="2023"/>
    <n v="1300"/>
    <n v="720"/>
    <n v="500"/>
    <n v="100"/>
    <s v="Bell Center Unit only; no stocking in Wauzeka Unit"/>
    <n v="543043.20151831"/>
    <n v="4447.9701593939299"/>
  </r>
  <r>
    <n v="138218"/>
    <m/>
    <n v="10389"/>
    <x v="20"/>
    <s v="Y"/>
    <s v="2023"/>
    <n v="120"/>
    <m/>
    <n v="100"/>
    <n v="20"/>
    <s v="Winward Square Prairie"/>
    <n v="572841.43814671005"/>
    <n v="4403.4974407661102"/>
  </r>
  <r>
    <n v="138218"/>
    <m/>
    <n v="10389"/>
    <x v="20"/>
    <s v="Y"/>
    <s v="2023"/>
    <n v="200"/>
    <m/>
    <n v="120"/>
    <n v="40"/>
    <s v="Wanek - LWSR"/>
    <n v="572841.43814671005"/>
    <n v="4403.4974407661102"/>
  </r>
  <r>
    <n v="95352"/>
    <m/>
    <n v="9075"/>
    <x v="60"/>
    <s v="Y"/>
    <s v="2023"/>
    <n v="3600"/>
    <m/>
    <n v="11000"/>
    <n v="200"/>
    <s v="Additional fees for hunters: Park pass (Daily or Annual), Bong Hunter Fee: $12 Daily permit; $7 Youth Permit; $5 Non-stocking days. Hunting hours: Property hunting hours are 9am - 2pm, except opening day which is per small game regulations. Daily bag lim"/>
    <n v="1205996"/>
    <n v="2709"/>
  </r>
  <r>
    <n v="89906"/>
    <m/>
    <n v="7710"/>
    <x v="61"/>
    <s v="Y"/>
    <s v="2023"/>
    <n v="750"/>
    <n v="440"/>
    <n v="420"/>
    <n v="40"/>
    <s v="Many locations throughout the property are stocked by DNR, D.O.C. as well as local hunt clubs. 12 PM closure."/>
    <n v="163771.90984512499"/>
    <n v="1620.8627323363401"/>
  </r>
  <r>
    <n v="89907"/>
    <m/>
    <n v="7710"/>
    <x v="61"/>
    <s v="Y"/>
    <s v="2023"/>
    <n v="750"/>
    <n v="440"/>
    <n v="420"/>
    <n v="40"/>
    <s v="Many locations throughout the property are stocked by DNR, D.O.C. as well as local hunt clubs. 12 PM closure."/>
    <n v="173564.10653573001"/>
    <n v="1670.93600563419"/>
  </r>
  <r>
    <n v="89913"/>
    <m/>
    <n v="7710"/>
    <x v="61"/>
    <s v="Y"/>
    <s v="2023"/>
    <n v="750"/>
    <n v="440"/>
    <n v="420"/>
    <n v="40"/>
    <s v="Many locations throughout the property are stocked by DNR, D.O.C. as well as local hunt clubs. 12 PM closure."/>
    <n v="204655.56066283499"/>
    <n v="1856.8805087635101"/>
  </r>
  <r>
    <n v="90220"/>
    <m/>
    <n v="7710"/>
    <x v="61"/>
    <s v="Y"/>
    <s v="2023"/>
    <n v="750"/>
    <n v="440"/>
    <n v="420"/>
    <n v="40"/>
    <s v="Many locations throughout the property are stocked by DNR, D.O.C. as well as local hunt clubs. 12 PM closure."/>
    <n v="1420072.06350404"/>
    <n v="9744.9006893269707"/>
  </r>
  <r>
    <n v="89908"/>
    <m/>
    <n v="7710"/>
    <x v="61"/>
    <s v="Y"/>
    <s v="2023"/>
    <n v="750"/>
    <n v="440"/>
    <n v="420"/>
    <n v="40"/>
    <s v="Many locations throughout the property are stocked by DNR, D.O.C. as well as local hunt clubs. 12 PM closure."/>
    <n v="478115.874330875"/>
    <n v="3883.3518817641202"/>
  </r>
  <r>
    <n v="89905"/>
    <m/>
    <n v="7710"/>
    <x v="61"/>
    <s v="Y"/>
    <s v="2023"/>
    <n v="750"/>
    <n v="440"/>
    <n v="420"/>
    <n v="40"/>
    <s v="Many locations throughout the property are stocked by DNR, D.O.C. as well as local hunt clubs. 12 PM closure."/>
    <n v="475683.22828820499"/>
    <n v="4948.6646886741401"/>
  </r>
  <r>
    <n v="90221"/>
    <m/>
    <n v="7710"/>
    <x v="61"/>
    <s v="Y"/>
    <s v="2023"/>
    <n v="750"/>
    <n v="440"/>
    <n v="420"/>
    <n v="40"/>
    <s v="Many locations throughout the property are stocked by DNR, D.O.C. as well as local hunt clubs. 12 PM closure."/>
    <n v="351631.38672653498"/>
    <n v="6498.7500005996799"/>
  </r>
  <r>
    <n v="89911"/>
    <m/>
    <n v="7710"/>
    <x v="61"/>
    <s v="Y"/>
    <s v="2023"/>
    <n v="750"/>
    <n v="440"/>
    <n v="420"/>
    <n v="40"/>
    <s v="Many locations throughout the property are stocked by DNR, D.O.C. as well as local hunt clubs. 12 PM closure."/>
    <n v="902879.41539624997"/>
    <n v="6196.4400548368103"/>
  </r>
  <r>
    <n v="89909"/>
    <m/>
    <n v="7710"/>
    <x v="61"/>
    <s v="Y"/>
    <s v="2023"/>
    <n v="750"/>
    <n v="440"/>
    <n v="420"/>
    <n v="40"/>
    <s v="Many locations throughout the property are stocked by DNR, D.O.C. as well as local hunt clubs. 12 PM closure."/>
    <n v="403343.58576268499"/>
    <n v="2655.36453756213"/>
  </r>
  <r>
    <n v="90218"/>
    <m/>
    <n v="7710"/>
    <x v="61"/>
    <s v="Y"/>
    <s v="2023"/>
    <n v="750"/>
    <n v="440"/>
    <n v="420"/>
    <n v="40"/>
    <s v="Many locations throughout the property are stocked by DNR, D.O.C. as well as local hunt clubs. 12 PM closure."/>
    <n v="1847768.79735349"/>
    <n v="8955.2744373762507"/>
  </r>
  <r>
    <n v="153580"/>
    <m/>
    <n v="7620"/>
    <x v="62"/>
    <s v="Y"/>
    <s v="2023"/>
    <n v="215"/>
    <n v="220"/>
    <n v="220"/>
    <n v="30"/>
    <s v="12PM closure"/>
    <n v="883540.83642353001"/>
    <n v="5807.1922082571"/>
  </r>
  <r>
    <n v="89902"/>
    <m/>
    <n v="7620"/>
    <x v="62"/>
    <s v="Y"/>
    <s v="2023"/>
    <n v="215"/>
    <n v="220"/>
    <n v="220"/>
    <n v="30"/>
    <s v="12PM closure"/>
    <n v="892434.89310818003"/>
    <n v="5864.8159341022802"/>
  </r>
  <r>
    <n v="153578"/>
    <m/>
    <n v="7520"/>
    <x v="63"/>
    <s v="Y"/>
    <s v="2023"/>
    <n v="200"/>
    <n v="40"/>
    <n v="40"/>
    <n v="40"/>
    <s v="Stocked with pheasants from D.O.C. (Door County Fish Farm and Game)"/>
    <n v="144525.51317463999"/>
    <n v="1619.84715302583"/>
  </r>
  <r>
    <n v="153579"/>
    <m/>
    <n v="7520"/>
    <x v="63"/>
    <s v="Y"/>
    <s v="2023"/>
    <n v="200"/>
    <n v="40"/>
    <n v="40"/>
    <n v="40"/>
    <s v="Stocked with pheasants from D.O.C. (Door County Fish Farm and Game)"/>
    <n v="1056158.7430897099"/>
    <n v="4266.1710088049203"/>
  </r>
  <r>
    <n v="96619"/>
    <m/>
    <n v="7534"/>
    <x v="64"/>
    <s v="Y"/>
    <s v="2023"/>
    <n v="300"/>
    <m/>
    <n v="160"/>
    <n v="40"/>
    <s v="Winnebago County-Warnke GHRA"/>
    <n v="2720296.6550504901"/>
    <n v="1312"/>
  </r>
  <r>
    <n v="96619"/>
    <m/>
    <n v="7534"/>
    <x v="64"/>
    <s v="Y"/>
    <s v="2023"/>
    <n v="1200"/>
    <m/>
    <n v="610"/>
    <n v="140"/>
    <s v="Fond du Lac GHRA (Glacial Habitat Restoration Area) properties: Spirit, Rens, Buwalda, and O'Leary."/>
    <n v="2720296.6550504901"/>
    <n v="1312"/>
  </r>
  <r>
    <n v="96625"/>
    <m/>
    <n v="7534"/>
    <x v="64"/>
    <s v="Y"/>
    <s v="2023"/>
    <n v="300"/>
    <m/>
    <n v="160"/>
    <n v="40"/>
    <s v="Winnebago County-Warnke GHRA"/>
    <n v="710119.41709284997"/>
    <n v="3860.9446153685499"/>
  </r>
  <r>
    <n v="96625"/>
    <m/>
    <n v="7534"/>
    <x v="64"/>
    <s v="Y"/>
    <s v="2023"/>
    <n v="1200"/>
    <m/>
    <n v="610"/>
    <n v="140"/>
    <s v="Fond du Lac GHRA (Glacial Habitat Restoration Area) properties: Spirit, Rens, Buwalda, and O'Leary."/>
    <n v="710119.41709284997"/>
    <n v="3860.9446153685499"/>
  </r>
  <r>
    <n v="96622"/>
    <m/>
    <n v="7534"/>
    <x v="64"/>
    <s v="Y"/>
    <s v="2023"/>
    <n v="300"/>
    <m/>
    <n v="160"/>
    <n v="40"/>
    <s v="Winnebago County-Warnke GHRA"/>
    <n v="3223527.6683243699"/>
    <n v="1369"/>
  </r>
  <r>
    <n v="96622"/>
    <m/>
    <n v="7534"/>
    <x v="64"/>
    <s v="Y"/>
    <s v="2023"/>
    <n v="1200"/>
    <m/>
    <n v="610"/>
    <n v="140"/>
    <s v="Fond du Lac GHRA (Glacial Habitat Restoration Area) properties: Spirit, Rens, Buwalda, and O'Leary."/>
    <n v="3223527.6683243699"/>
    <n v="1369"/>
  </r>
  <r>
    <n v="112618"/>
    <m/>
    <n v="7534"/>
    <x v="64"/>
    <s v="Y"/>
    <s v="2023"/>
    <n v="300"/>
    <m/>
    <n v="160"/>
    <n v="40"/>
    <s v="Winnebago County-Warnke GHRA"/>
    <n v="1633986.23824408"/>
    <n v="7538.3924466545204"/>
  </r>
  <r>
    <n v="112618"/>
    <m/>
    <n v="7534"/>
    <x v="64"/>
    <s v="Y"/>
    <s v="2023"/>
    <n v="1200"/>
    <m/>
    <n v="610"/>
    <n v="140"/>
    <s v="Fond du Lac GHRA (Glacial Habitat Restoration Area) properties: Spirit, Rens, Buwalda, and O'Leary."/>
    <n v="1633986.23824408"/>
    <n v="7538.3924466545204"/>
  </r>
  <r>
    <n v="96626"/>
    <m/>
    <n v="7534"/>
    <x v="64"/>
    <s v="Y"/>
    <s v="2023"/>
    <n v="300"/>
    <m/>
    <n v="160"/>
    <n v="40"/>
    <s v="Winnebago County-Warnke GHRA"/>
    <n v="949680.14779487997"/>
    <n v="6087.2297779106302"/>
  </r>
  <r>
    <n v="96626"/>
    <m/>
    <n v="7534"/>
    <x v="64"/>
    <s v="Y"/>
    <s v="2023"/>
    <n v="1200"/>
    <m/>
    <n v="610"/>
    <n v="140"/>
    <s v="Fond du Lac GHRA (Glacial Habitat Restoration Area) properties: Spirit, Rens, Buwalda, and O'Leary."/>
    <n v="949680.14779487997"/>
    <n v="6087.2297779106302"/>
  </r>
  <r>
    <n v="90226"/>
    <m/>
    <n v="10305"/>
    <x v="20"/>
    <s v="N"/>
    <s v="2023"/>
    <n v="2000"/>
    <n v="1120"/>
    <n v="1550"/>
    <n v="140"/>
    <s v="Avoca Rod &amp; Gun Club stocks ~450 birds as part of the DOC program"/>
    <n v="1099554.10819435"/>
    <n v="4658.6966506121298"/>
  </r>
  <r>
    <n v="90227"/>
    <m/>
    <n v="10305"/>
    <x v="20"/>
    <s v="N"/>
    <s v="2023"/>
    <n v="2000"/>
    <n v="1120"/>
    <n v="1550"/>
    <n v="140"/>
    <s v="Avoca Rod &amp; Gun Club stocks ~450 birds as part of the DOC program"/>
    <n v="434792.85164864"/>
    <n v="3042.8429909974502"/>
  </r>
  <r>
    <n v="90228"/>
    <m/>
    <n v="10305"/>
    <x v="20"/>
    <s v="N"/>
    <s v="2023"/>
    <n v="2000"/>
    <n v="1120"/>
    <n v="1550"/>
    <n v="140"/>
    <s v="Avoca Rod &amp; Gun Club stocks ~450 birds as part of the DOC program"/>
    <n v="4625905.5677722199"/>
    <n v="9219.0544174587194"/>
  </r>
  <r>
    <n v="91827"/>
    <m/>
    <n v="7670"/>
    <x v="65"/>
    <s v="Y"/>
    <s v="2023"/>
    <n v="1100"/>
    <m/>
    <n v="1000"/>
    <n v="120"/>
    <s v="Acres suitable for hunting reflects approximate area in grassland, farmland, or shrubland adjacent to pheasant stocked areas &amp; reasonably likely to hold birds."/>
    <n v="1053250"/>
    <n v="2747"/>
  </r>
  <r>
    <n v="96628"/>
    <m/>
    <n v="7535"/>
    <x v="64"/>
    <s v="N"/>
    <s v="2023"/>
    <n v="398"/>
    <m/>
    <n v="180"/>
    <n v="40"/>
    <s v="Dodge County GHRA properties- DeVries, Werth"/>
    <n v="959274.91538170504"/>
    <n v="6089.7284811811996"/>
  </r>
  <r>
    <n v="96621"/>
    <m/>
    <n v="7535"/>
    <x v="64"/>
    <s v="N"/>
    <s v="2023"/>
    <n v="398"/>
    <m/>
    <n v="180"/>
    <n v="40"/>
    <s v="Dodge County GHRA properties- DeVries, Werth"/>
    <n v="638629.480224445"/>
    <n v="4096.2485774118404"/>
  </r>
  <r>
    <n v="92780"/>
    <m/>
    <n v="7535"/>
    <x v="64"/>
    <s v="N"/>
    <s v="2023"/>
    <n v="398"/>
    <m/>
    <n v="180"/>
    <n v="40"/>
    <s v="Dodge County GHRA properties- DeVries, Werth"/>
    <n v="1541440.84844923"/>
    <n v="5731.68398206661"/>
  </r>
  <r>
    <n v="153581"/>
    <m/>
    <n v="10217"/>
    <x v="66"/>
    <s v="Y"/>
    <s v="2023"/>
    <n v="70"/>
    <n v="60"/>
    <n v="60"/>
    <n v="60"/>
    <s v="Stocked with birds from D.O.C. (Door County Fish Farm and Game Club)"/>
    <n v="286745.67491159"/>
    <n v="2427.6987015280101"/>
  </r>
  <r>
    <n v="91822"/>
    <m/>
    <n v="7030"/>
    <x v="67"/>
    <s v="Y"/>
    <s v="2023"/>
    <n v="900"/>
    <m/>
    <n v="800"/>
    <n v="100"/>
    <s v="Acres suitable for hunting reflects approximate area in grassland, farmland, or shrubland adjacent to pheasant stocked areas &amp; reasonably likely to hold birds."/>
    <n v="3786286.5905817901"/>
    <n v="1138"/>
  </r>
  <r>
    <n v="156795"/>
    <m/>
    <n v="8650"/>
    <x v="68"/>
    <s v="Y"/>
    <s v="2023"/>
    <n v="2500"/>
    <m/>
    <n v="1600"/>
    <n v="180"/>
    <s v="Acres suitable for hunting reflects approximate area in grassland, farmland, or shrubland adjacent to pheasant stocked areas &amp; reasonably likely to hold birds."/>
    <n v="1044618.80363461"/>
    <n v="4861.9858099684598"/>
  </r>
  <r>
    <n v="156796"/>
    <m/>
    <n v="8650"/>
    <x v="68"/>
    <s v="Y"/>
    <s v="2023"/>
    <n v="2500"/>
    <m/>
    <n v="1600"/>
    <n v="180"/>
    <s v="Acres suitable for hunting reflects approximate area in grassland, farmland, or shrubland adjacent to pheasant stocked areas &amp; reasonably likely to hold birds."/>
    <n v="245163.78515815499"/>
    <n v="1989.8819996289001"/>
  </r>
  <r>
    <n v="156794"/>
    <m/>
    <n v="8650"/>
    <x v="68"/>
    <s v="Y"/>
    <s v="2023"/>
    <n v="2500"/>
    <m/>
    <n v="1600"/>
    <n v="180"/>
    <s v="Acres suitable for hunting reflects approximate area in grassland, farmland, or shrubland adjacent to pheasant stocked areas &amp; reasonably likely to hold birds."/>
    <n v="2103987"/>
    <n v="3362"/>
  </r>
  <r>
    <n v="156797"/>
    <m/>
    <n v="8650"/>
    <x v="68"/>
    <s v="Y"/>
    <s v="2023"/>
    <n v="2500"/>
    <m/>
    <n v="1600"/>
    <n v="180"/>
    <s v="Acres suitable for hunting reflects approximate area in grassland, farmland, or shrubland adjacent to pheasant stocked areas &amp; reasonably likely to hold birds."/>
    <n v="647064.92312319495"/>
    <n v="4794.3366407059802"/>
  </r>
  <r>
    <n v="91825"/>
    <m/>
    <n v="8650"/>
    <x v="68"/>
    <s v="Y"/>
    <s v="2023"/>
    <n v="2500"/>
    <m/>
    <n v="1600"/>
    <n v="180"/>
    <s v="Acres suitable for hunting reflects approximate area in grassland, farmland, or shrubland adjacent to pheasant stocked areas &amp; reasonably likely to hold birds."/>
    <n v="1858000.27381421"/>
    <n v="8233.7731441839296"/>
  </r>
  <r>
    <n v="136625"/>
    <m/>
    <n v="10301"/>
    <x v="66"/>
    <s v="Y"/>
    <s v="2023"/>
    <n v="230"/>
    <m/>
    <n v="100"/>
    <n v="20"/>
    <s v="Sinissippi"/>
    <n v="1224275.6064907699"/>
    <n v="5002.3428084056004"/>
  </r>
  <r>
    <n v="156154"/>
    <m/>
    <n v="11713"/>
    <x v="69"/>
    <s v="Y"/>
    <s v="2023"/>
    <n v="152"/>
    <m/>
    <m/>
    <n v="100"/>
    <s v="Additional DOT acreage adjacent of 33 ac"/>
    <n v="310822.30406660499"/>
    <n v="2373.7716840257099"/>
  </r>
  <r>
    <n v="156155"/>
    <m/>
    <n v="11713"/>
    <x v="69"/>
    <s v="Y"/>
    <s v="2023"/>
    <n v="152"/>
    <m/>
    <m/>
    <n v="100"/>
    <s v="Additional DOT acreage adjacent of 33 ac"/>
    <n v="298070.41835620999"/>
    <n v="2361.77833660035"/>
  </r>
  <r>
    <n v="93741"/>
    <m/>
    <n v="8130"/>
    <x v="70"/>
    <s v="Y"/>
    <s v="2023"/>
    <n v="1250"/>
    <m/>
    <n v="780"/>
    <n v="80"/>
    <s v="Property has 12pm Closure."/>
    <n v="297050.17454996501"/>
    <n v="3536.2091342140702"/>
  </r>
  <r>
    <n v="114220"/>
    <m/>
    <n v="8130"/>
    <x v="70"/>
    <s v="Y"/>
    <s v="2023"/>
    <n v="1250"/>
    <m/>
    <n v="780"/>
    <n v="80"/>
    <s v="Property has 12pm Closure."/>
    <n v="491341.68249633501"/>
    <n v="4395.37234039945"/>
  </r>
  <r>
    <n v="155196"/>
    <m/>
    <n v="8130"/>
    <x v="70"/>
    <s v="Y"/>
    <s v="2023"/>
    <n v="1250"/>
    <m/>
    <n v="780"/>
    <n v="80"/>
    <s v="Property has 12pm Closure."/>
    <n v="150836.41266591"/>
    <n v="1669.1528940902999"/>
  </r>
  <r>
    <n v="135658"/>
    <m/>
    <n v="10524"/>
    <x v="71"/>
    <s v="N"/>
    <s v="2023"/>
    <n v="7000"/>
    <n v="2530"/>
    <n v="2380"/>
    <n v="320"/>
    <s v="La Farge Unit"/>
    <n v="3289657"/>
    <n v="5160"/>
  </r>
  <r>
    <n v="136298"/>
    <m/>
    <n v="10389"/>
    <x v="20"/>
    <s v="Y"/>
    <s v="2023"/>
    <n v="120"/>
    <m/>
    <n v="100"/>
    <n v="20"/>
    <s v="Winward Square Prairie"/>
    <n v="601708.80401184503"/>
    <n v="4130.7267085745898"/>
  </r>
  <r>
    <n v="136298"/>
    <m/>
    <n v="10389"/>
    <x v="20"/>
    <s v="Y"/>
    <s v="2023"/>
    <n v="200"/>
    <m/>
    <n v="120"/>
    <n v="40"/>
    <s v="Wanek - LWSR"/>
    <n v="601708.80401184503"/>
    <n v="4130.7267085745898"/>
  </r>
  <r>
    <n v="94698"/>
    <m/>
    <n v="7550"/>
    <x v="72"/>
    <s v="Y"/>
    <s v="2023"/>
    <n v="1400"/>
    <m/>
    <n v="1100"/>
    <n v="120"/>
    <s v="12:00 pm Closure Monday-Friday through November 3rd."/>
    <n v="8731191.9646749105"/>
    <n v="2095"/>
  </r>
  <r>
    <n v="90225"/>
    <m/>
    <n v="7970"/>
    <x v="73"/>
    <s v="Y"/>
    <s v="2023"/>
    <n v="3600"/>
    <m/>
    <n v="1860"/>
    <n v="200"/>
    <s v="Additional 140 birds stocked on adjacent Dane County Parks - Walking Iron Wildlife Area"/>
    <n v="3346433.5600414402"/>
    <n v="8376.6262631358004"/>
  </r>
  <r>
    <n v="144307"/>
    <m/>
    <n v="7970"/>
    <x v="73"/>
    <s v="Y"/>
    <s v="2023"/>
    <n v="3600"/>
    <m/>
    <n v="1860"/>
    <n v="200"/>
    <s v="Additional 140 birds stocked on adjacent Dane County Parks - Walking Iron Wildlife Area"/>
    <n v="996999.04568946001"/>
    <n v="5065.5356562960596"/>
  </r>
  <r>
    <n v="90224"/>
    <m/>
    <n v="7970"/>
    <x v="73"/>
    <s v="Y"/>
    <s v="2023"/>
    <n v="3600"/>
    <m/>
    <n v="1860"/>
    <n v="200"/>
    <s v="Additional 140 birds stocked on adjacent Dane County Parks - Walking Iron Wildlife Area"/>
    <n v="1863704.2482836"/>
    <n v="7556.08526493408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5B9C48-AF90-4DCE-8A9C-F0081A13E53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78" firstHeaderRow="1" firstDataRow="1" firstDataCol="1"/>
  <pivotFields count="13">
    <pivotField showAll="0"/>
    <pivotField showAll="0"/>
    <pivotField showAll="0"/>
    <pivotField axis="axisRow" showAll="0">
      <items count="75">
        <item x="0"/>
        <item x="3"/>
        <item x="67"/>
        <item x="29"/>
        <item x="39"/>
        <item x="21"/>
        <item x="47"/>
        <item x="54"/>
        <item x="38"/>
        <item x="61"/>
        <item x="7"/>
        <item x="4"/>
        <item x="55"/>
        <item x="41"/>
        <item x="5"/>
        <item x="2"/>
        <item x="28"/>
        <item x="13"/>
        <item x="63"/>
        <item x="64"/>
        <item x="42"/>
        <item x="72"/>
        <item x="30"/>
        <item x="18"/>
        <item x="62"/>
        <item x="12"/>
        <item x="25"/>
        <item x="19"/>
        <item x="65"/>
        <item x="31"/>
        <item x="8"/>
        <item x="56"/>
        <item x="71"/>
        <item x="59"/>
        <item x="57"/>
        <item x="34"/>
        <item x="46"/>
        <item x="10"/>
        <item x="6"/>
        <item x="20"/>
        <item x="52"/>
        <item x="73"/>
        <item x="17"/>
        <item x="1"/>
        <item x="27"/>
        <item x="45"/>
        <item x="53"/>
        <item x="70"/>
        <item x="26"/>
        <item x="43"/>
        <item x="32"/>
        <item x="44"/>
        <item x="14"/>
        <item x="35"/>
        <item x="60"/>
        <item x="36"/>
        <item x="40"/>
        <item x="48"/>
        <item x="15"/>
        <item x="23"/>
        <item x="58"/>
        <item x="51"/>
        <item x="66"/>
        <item x="16"/>
        <item x="49"/>
        <item x="68"/>
        <item x="9"/>
        <item x="24"/>
        <item x="11"/>
        <item x="33"/>
        <item x="37"/>
        <item x="50"/>
        <item x="69"/>
        <item x="22"/>
        <item t="default"/>
      </items>
    </pivotField>
    <pivotField showAll="0"/>
    <pivotField showAll="0"/>
    <pivotField showAll="0"/>
    <pivotField showAll="0"/>
    <pivotField showAll="0"/>
    <pivotField showAll="0"/>
    <pivotField showAll="0"/>
    <pivotField showAll="0"/>
    <pivotField showAll="0"/>
  </pivotFields>
  <rowFields count="1">
    <field x="3"/>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EC82622B-59C0-427E-A69F-9ED734F63FA8}" autoFormatId="16" applyNumberFormats="0" applyBorderFormats="0" applyFontFormats="0" applyPatternFormats="0" applyAlignmentFormats="0" applyWidthHeightFormats="0">
  <queryTableRefresh nextId="14">
    <queryTableFields count="13">
      <queryTableField id="1" name="OBJECTID" tableColumnId="1"/>
      <queryTableField id="2" name="SHAPE" tableColumnId="2"/>
      <queryTableField id="3" name="LMS_LOCAL_" tableColumnId="3"/>
      <queryTableField id="4" name="PROP_NAME" tableColumnId="4"/>
      <queryTableField id="5" name="MAP_VISIBL" tableColumnId="5"/>
      <queryTableField id="6" name="STOCKING_Y" tableColumnId="6"/>
      <queryTableField id="7" name="ACRES_SUIT" tableColumnId="7"/>
      <queryTableField id="8" name="PREVIOUS_S" tableColumnId="8"/>
      <queryTableField id="9" name="PROPOSED_S" tableColumnId="9"/>
      <queryTableField id="10" name="MAX_BIRDS_" tableColumnId="10"/>
      <queryTableField id="11" name="COMMENTS_T" tableColumnId="11"/>
      <queryTableField id="12" name="SHAPE_AREA" tableColumnId="12"/>
      <queryTableField id="13" name="SHAPE_LEN" tableColumnId="13"/>
    </queryTableFields>
  </queryTableRefresh>
  <extLst>
    <ext xmlns:x15="http://schemas.microsoft.com/office/spreadsheetml/2010/11/main" uri="{883FBD77-0823-4a55-B5E3-86C4891E6966}">
      <x15:queryTable sourceDataName="Query - PheasantLocation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7FA30DDC-E5E4-4906-8AD2-A798BD6DA875}" autoFormatId="16" applyNumberFormats="0" applyBorderFormats="0" applyFontFormats="0" applyPatternFormats="0" applyAlignmentFormats="0" applyWidthHeightFormats="0">
  <queryTableRefresh nextId="10">
    <queryTableFields count="9">
      <queryTableField id="1" name="Year" tableColumnId="1"/>
      <queryTableField id="2" name="County" tableColumnId="2"/>
      <queryTableField id="3" name="Property Name" tableColumnId="3"/>
      <queryTableField id="4" name="Stocked by DNR" tableColumnId="4"/>
      <queryTableField id="5" name="Stocked by DOC" tableColumnId="5"/>
      <queryTableField id="6" name="12PM Closure Area" tableColumnId="6"/>
      <queryTableField id="7" name="Hen / Rooster Area" tableColumnId="7"/>
      <queryTableField id="8" name="Acres for Hunting" tableColumnId="8"/>
      <queryTableField id="9" name="Stocking Levels" tableColumnId="9"/>
    </queryTableFields>
  </queryTableRefresh>
  <extLst>
    <ext xmlns:x15="http://schemas.microsoft.com/office/spreadsheetml/2010/11/main" uri="{883FBD77-0823-4a55-B5E3-86C4891E6966}">
      <x15:queryTable sourceDataName="Query - PheasantStockingList"/>
    </ext>
  </extLst>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CB7BC9-98E5-4DBF-98D6-D9B98F50A88F}" name="tbl_Property" displayName="tbl_Property" ref="C15:Q97" totalsRowShown="0" headerRowDxfId="19" headerRowBorderDxfId="18" tableBorderDxfId="17">
  <autoFilter ref="C15:Q97" xr:uid="{D4CB7BC9-98E5-4DBF-98D6-D9B98F50A88F}"/>
  <tableColumns count="15">
    <tableColumn id="1" xr3:uid="{657D390C-E0F5-46F0-8580-6E804A75F0C8}" name="Property ID" dataDxfId="16"/>
    <tableColumn id="2" xr3:uid="{26ACCC1A-F029-4DBD-BBA7-B9F59B8ED54C}" name="Property Name"/>
    <tableColumn id="3" xr3:uid="{DD736B11-59C5-4A18-B9CD-A061C42A42E3}" name="Alternate Property Name"/>
    <tableColumn id="4" xr3:uid="{1AE1CBE2-0615-4EF6-94C4-BB178A5BFD5D}" name="LMS Local Property ID" dataDxfId="15"/>
    <tableColumn id="5" xr3:uid="{6EDD15A9-73D6-4268-A6BF-857260EDC000}" name="County"/>
    <tableColumn id="6" xr3:uid="{9AA4DC1A-C6CA-49FE-B1D2-32F9718AB17B}" name="Total Hunting Acres" dataDxfId="14"/>
    <tableColumn id="7" xr3:uid="{3A6D3217-463C-44BE-8523-6B386144695D}" name="Stocked by DNR"/>
    <tableColumn id="8" xr3:uid="{AB46B23C-1842-4163-9E5C-1FDC6AB3DA3A}" name="Stocked by DOC"/>
    <tableColumn id="9" xr3:uid="{548EC422-0394-44E3-960B-1F6572BA5528}" name="Proposed Stocking" dataDxfId="13"/>
    <tableColumn id="10" xr3:uid="{43DBC173-C204-4DB9-9CE4-51709F9FA1D3}" name="Previous Stocking" dataDxfId="12"/>
    <tableColumn id="11" xr3:uid="{5244D266-9A1F-4DBC-ABBA-E5B63AFED912}" name="Max Birds per Stocking" dataDxfId="11"/>
    <tableColumn id="12" xr3:uid="{9A070BFC-E3E7-4137-A36B-449025C56A9B}" name="Map Visibility Flag"/>
    <tableColumn id="13" xr3:uid="{25DF23D0-349D-47D0-9DD8-463846B07F61}" name="Closure Restrictions"/>
    <tableColumn id="14" xr3:uid="{C77A47B5-321E-4241-A077-42892D5C5003}" name="Hen Rooster Area"/>
    <tableColumn id="15" xr3:uid="{2CEE512E-A05B-44A2-935C-6A93514EBC83}"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946630A-7098-448D-9F1B-270ACB6B31D8}" name="PheasantLocations" displayName="PheasantLocations" ref="B5:N232" tableType="queryTable" totalsRowShown="0">
  <autoFilter ref="B5:N232" xr:uid="{B946630A-7098-448D-9F1B-270ACB6B31D8}"/>
  <tableColumns count="13">
    <tableColumn id="1" xr3:uid="{79F6F9A0-67AD-4C9A-A9C0-23BF0F21B13C}" uniqueName="1" name="OBJECTID" queryTableFieldId="1"/>
    <tableColumn id="2" xr3:uid="{9F489DCC-B014-4405-B4AC-EECD339319F7}" uniqueName="2" name="SHAPE" queryTableFieldId="2" dataDxfId="10"/>
    <tableColumn id="3" xr3:uid="{A983E4BC-338C-4CF5-A3F2-631413D8F8B3}" uniqueName="3" name="LMS_LOCAL_" queryTableFieldId="3"/>
    <tableColumn id="4" xr3:uid="{FF65D201-6BEF-4C77-B92A-39EDF45054D2}" uniqueName="4" name="PROP_NAME" queryTableFieldId="4" dataDxfId="9"/>
    <tableColumn id="5" xr3:uid="{125D565F-C1BE-48BA-A6E3-B01AB32A4B0A}" uniqueName="5" name="MAP_VISIBL" queryTableFieldId="5" dataDxfId="8"/>
    <tableColumn id="6" xr3:uid="{27621EBA-ADDB-4EFD-A6CA-94828363BB2D}" uniqueName="6" name="STOCKING_Y" queryTableFieldId="6" dataDxfId="7"/>
    <tableColumn id="7" xr3:uid="{6A49BA55-B073-4044-A579-39DB9449CBEF}" uniqueName="7" name="ACRES_SUIT" queryTableFieldId="7"/>
    <tableColumn id="8" xr3:uid="{02E594BB-D390-4DDB-8BE3-E094726A551E}" uniqueName="8" name="PREVIOUS_S" queryTableFieldId="8"/>
    <tableColumn id="9" xr3:uid="{B1995600-5BAC-4CF9-9CB6-10B88D707585}" uniqueName="9" name="PROPOSED_S" queryTableFieldId="9"/>
    <tableColumn id="10" xr3:uid="{C5920101-5580-47F5-A7A3-C88CA8824CA4}" uniqueName="10" name="MAX_BIRDS_" queryTableFieldId="10"/>
    <tableColumn id="11" xr3:uid="{4CD3FF3B-4C37-450C-A414-85F0AE2A66AA}" uniqueName="11" name="COMMENTS_T" queryTableFieldId="11" dataDxfId="6"/>
    <tableColumn id="12" xr3:uid="{9CBFF4E4-E2EE-4B70-982C-4C7D1DC1B583}" uniqueName="12" name="SHAPE_AREA" queryTableFieldId="12"/>
    <tableColumn id="13" xr3:uid="{921DB7A9-C812-4652-9991-586658E40771}" uniqueName="13" name="SHAPE_LEN" queryTableFieldId="13"/>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252229-02E4-4017-B792-D0FC3E29FDA3}" name="PheasantStockingList" displayName="PheasantStockingList" ref="B5:J94" tableType="queryTable" totalsRowShown="0">
  <autoFilter ref="B5:J94" xr:uid="{4B252229-02E4-4017-B792-D0FC3E29FDA3}">
    <filterColumn colId="2">
      <filters>
        <filter val="Sand Creek Fishery Area-Monroe Co."/>
      </filters>
    </filterColumn>
  </autoFilter>
  <tableColumns count="9">
    <tableColumn id="1" xr3:uid="{2CBD360F-38CF-471D-8BB5-B4BA79B036A7}" uniqueName="1" name="Year" queryTableFieldId="1"/>
    <tableColumn id="2" xr3:uid="{499D4A42-64A8-4981-ABEF-EE9FACCE70FB}" uniqueName="2" name="County" queryTableFieldId="2" dataDxfId="5"/>
    <tableColumn id="3" xr3:uid="{8290F5BD-D276-4140-AF59-36D3AF5CE56A}" uniqueName="3" name="Property Name" queryTableFieldId="3" dataDxfId="4"/>
    <tableColumn id="4" xr3:uid="{977B4477-999B-40DD-92D5-55AB4DF7B3DA}" uniqueName="4" name="Stocked by DNR" queryTableFieldId="4" dataDxfId="3"/>
    <tableColumn id="5" xr3:uid="{2A7EBAE6-B170-452E-A368-7A99874F02FC}" uniqueName="5" name="Stocked by DOC" queryTableFieldId="5" dataDxfId="2"/>
    <tableColumn id="6" xr3:uid="{DA57B4DA-F379-4150-85C7-CD19A626EB7E}" uniqueName="6" name="12PM Closure Area" queryTableFieldId="6" dataDxfId="1"/>
    <tableColumn id="7" xr3:uid="{EAE44062-0C4C-44A7-AC15-B85E236ADDE8}" uniqueName="7" name="Hen / Rooster Area" queryTableFieldId="7" dataDxfId="0"/>
    <tableColumn id="8" xr3:uid="{0650D8E3-A7CB-47E8-A1A0-8327B5BC9153}" uniqueName="8" name="Acres for Hunting" queryTableFieldId="8"/>
    <tableColumn id="9" xr3:uid="{61430F56-B546-4F8D-8D03-E5E03C78FFD9}" uniqueName="9" name="Stocking Levels" queryTableFieldId="9"/>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3E9706A-6F91-4739-81DB-A39AA0C632AA}" name="tbl_FFLIGHT" displayName="tbl_FFLIGHT" ref="B5:M232" totalsRowShown="0">
  <autoFilter ref="B5:M232" xr:uid="{43E9706A-6F91-4739-81DB-A39AA0C632AA}"/>
  <tableColumns count="12">
    <tableColumn id="1" xr3:uid="{CFD5D2AC-3231-46BE-8F57-763C1B192A6D}" name="OBJECTID"/>
    <tableColumn id="2" xr3:uid="{0630D228-8B83-42A4-BCAC-DCAF01A7A89A}" name="LMS_LOCAL_"/>
    <tableColumn id="3" xr3:uid="{F04B5F83-4492-4DC6-B898-DBDFAA01F211}" name="PROP_NAME"/>
    <tableColumn id="4" xr3:uid="{3462EF45-78D3-4052-9BE1-B43F3DC3F019}" name="MAP_VISIBL"/>
    <tableColumn id="5" xr3:uid="{A6AFE920-1156-47C9-A49E-F5D6B5D9BC26}" name="STOCKING_Y"/>
    <tableColumn id="6" xr3:uid="{2C88747C-BD70-479A-BDE1-5A17CE762DF3}" name="ACRES_SUIT"/>
    <tableColumn id="7" xr3:uid="{08E803AC-FE25-418E-8BC7-242C8B626282}" name="PREVIOUS_S"/>
    <tableColumn id="8" xr3:uid="{093CF684-0624-4C07-914F-6A6107D144C4}" name="PROPOSED_S"/>
    <tableColumn id="9" xr3:uid="{BFF04F92-5E21-4AC9-B023-664CB2032C32}" name="MAX_BIRDS_"/>
    <tableColumn id="10" xr3:uid="{08F4111E-00A9-4FE3-A634-EF88A61ABF52}" name="COMMENTS_T"/>
    <tableColumn id="11" xr3:uid="{911EACC5-DE85-44AA-A0A7-ED788BCC8ADB}" name="SHAPE_AREA"/>
    <tableColumn id="12" xr3:uid="{E27EC285-4C30-4331-85C0-9C67D3592AFA}" name="SHAPE_LE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9ACDE6-4830-4401-B5B1-847B498DC8AB}" name="tbl_Stocking" displayName="tbl_Stocking" ref="B5:J94" totalsRowShown="0">
  <autoFilter ref="B5:J94" xr:uid="{3D9ACDE6-4830-4401-B5B1-847B498DC8AB}"/>
  <tableColumns count="9">
    <tableColumn id="1" xr3:uid="{E16014C1-E7EF-4E2A-9220-F2FEBC2B7E5C}" name="Year"/>
    <tableColumn id="2" xr3:uid="{D21E25A3-1F0A-493D-935E-27320B65BABD}" name="County"/>
    <tableColumn id="3" xr3:uid="{6C52E4B2-3E28-43F9-8BA2-475F1E4B79F4}" name="Property Name"/>
    <tableColumn id="4" xr3:uid="{467F35EB-D952-46E9-A032-E6C3BF4D0EFB}" name="Stocked by DNR"/>
    <tableColumn id="5" xr3:uid="{AD3AC42A-261F-494B-964C-FE19F6736335}" name="Stocked by DOC"/>
    <tableColumn id="6" xr3:uid="{D42DCC44-9BBF-477B-85AA-9A65B4670290}" name="12PM Closure Area"/>
    <tableColumn id="7" xr3:uid="{D4F357F9-4419-46E8-9697-7732E85F35F6}" name="Hen / Rooster Area"/>
    <tableColumn id="8" xr3:uid="{34CE1B64-7E3F-4448-A632-5FA831E8D6B9}" name="Acres for Hunting"/>
    <tableColumn id="9" xr3:uid="{35347C04-5317-45A8-9D82-C0699D749F1A}" name="Stocking Levels"/>
  </tableColumns>
  <tableStyleInfo name="TableStyleMedium2" showFirstColumn="0" showLastColumn="0" showRowStripes="1" showColumnStripes="0"/>
</table>
</file>

<file path=xl/theme/theme1.xml><?xml version="1.0" encoding="utf-8"?>
<a:theme xmlns:a="http://schemas.openxmlformats.org/drawingml/2006/main" name="Custom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apps.dnr.wi.gov/pheasantstocking/Index.aspx"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4.xml.rels><?xml version="1.0" encoding="UTF-8" standalone="yes"?>
<Relationships xmlns="http://schemas.openxmlformats.org/package/2006/relationships"><Relationship Id="rId3" Type="http://schemas.openxmlformats.org/officeDocument/2006/relationships/hyperlink" Target="https://dnr.wisconsin.gov/aid" TargetMode="External"/><Relationship Id="rId2" Type="http://schemas.openxmlformats.org/officeDocument/2006/relationships/hyperlink" Target="https://wiwf.org/cdnwiwf/" TargetMode="External"/><Relationship Id="rId1" Type="http://schemas.openxmlformats.org/officeDocument/2006/relationships/hyperlink" Target="https://www.dcffg.org/news-events/pheasant-release" TargetMode="External"/><Relationship Id="rId6" Type="http://schemas.openxmlformats.org/officeDocument/2006/relationships/hyperlink" Target="https://dnr.wisconsin.gov/topic/lands" TargetMode="External"/><Relationship Id="rId5" Type="http://schemas.openxmlformats.org/officeDocument/2006/relationships/hyperlink" Target="https://dnr.wisconsin.gov/about/divisions/externalservices" TargetMode="External"/><Relationship Id="rId4" Type="http://schemas.openxmlformats.org/officeDocument/2006/relationships/hyperlink" Target="https://dnr.wisconsin.gov/sitemap.xml" TargetMode="Externa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idnr.widen.net/s/fjhxhtzq6t/2023-wisconsin-hunting-regulation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57F0B-685B-45E9-9171-3D350A3BEB40}">
  <sheetPr codeName="Sheet1">
    <tabColor theme="1" tint="0.34998626667073579"/>
  </sheetPr>
  <dimension ref="A1"/>
  <sheetViews>
    <sheetView workbookViewId="0"/>
  </sheetViews>
  <sheetFormatPr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79151-DBEC-470A-945A-4042AB015052}">
  <sheetPr codeName="Sheet2">
    <tabColor theme="5" tint="0.79998168889431442"/>
  </sheetPr>
  <dimension ref="A1:X12"/>
  <sheetViews>
    <sheetView workbookViewId="0"/>
  </sheetViews>
  <sheetFormatPr defaultRowHeight="15"/>
  <cols>
    <col min="9" max="9" width="2.7109375" customWidth="1"/>
    <col min="17" max="17" width="2.7109375" customWidth="1"/>
  </cols>
  <sheetData>
    <row r="1" spans="1:24" ht="19.5" thickBot="1">
      <c r="A1" s="1" t="s">
        <v>132</v>
      </c>
      <c r="B1" s="1"/>
      <c r="C1" s="1"/>
      <c r="D1" s="1"/>
      <c r="E1" s="1"/>
      <c r="F1" s="1"/>
      <c r="G1" s="1"/>
      <c r="H1" s="1"/>
    </row>
    <row r="2" spans="1:24" ht="15.75" thickTop="1">
      <c r="A2" s="2" t="s">
        <v>133</v>
      </c>
      <c r="B2" s="2"/>
      <c r="C2" s="2"/>
      <c r="D2" s="2"/>
      <c r="E2" s="2"/>
    </row>
    <row r="5" spans="1:24" ht="18" thickBot="1">
      <c r="B5" s="8" t="s">
        <v>137</v>
      </c>
      <c r="C5" s="8"/>
      <c r="D5" s="8"/>
      <c r="E5" s="8"/>
      <c r="F5" s="8"/>
      <c r="G5" s="8"/>
      <c r="H5" s="8"/>
      <c r="I5" s="8"/>
    </row>
    <row r="6" spans="1:24" ht="15.75" thickTop="1"/>
    <row r="7" spans="1:24">
      <c r="B7" t="s">
        <v>138</v>
      </c>
    </row>
    <row r="10" spans="1:24" ht="18" thickBot="1">
      <c r="B10" s="8" t="s">
        <v>134</v>
      </c>
      <c r="C10" s="8"/>
      <c r="D10" s="8"/>
      <c r="E10" s="8"/>
      <c r="F10" s="8"/>
      <c r="G10" s="8"/>
      <c r="H10" s="8"/>
      <c r="I10" s="8"/>
      <c r="J10" s="8"/>
      <c r="K10" s="8"/>
      <c r="L10" s="8"/>
      <c r="M10" s="8"/>
      <c r="N10" s="8"/>
      <c r="O10" s="8"/>
      <c r="P10" s="8"/>
      <c r="Q10" s="8"/>
      <c r="R10" s="8"/>
      <c r="S10" s="8"/>
      <c r="T10" s="8"/>
      <c r="U10" s="8"/>
      <c r="V10" s="8"/>
      <c r="W10" s="8"/>
      <c r="X10" s="8"/>
    </row>
    <row r="11" spans="1:24" ht="15.75" thickTop="1"/>
    <row r="12" spans="1:24">
      <c r="B12" s="13" t="s">
        <v>135</v>
      </c>
      <c r="C12" s="12" t="s">
        <v>136</v>
      </c>
    </row>
  </sheetData>
  <hyperlinks>
    <hyperlink ref="C12" r:id="rId1" display="https://apps.dnr.wi.gov/pheasantstocking/Index.aspx" xr:uid="{5A7AAFF2-7B32-48F1-9FDF-3CF42661122B}"/>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B4430-CB72-4947-9B05-66BC7E88533F}">
  <sheetPr codeName="Sheet3">
    <tabColor rgb="FFFFFF00"/>
  </sheetPr>
  <dimension ref="A1:E2"/>
  <sheetViews>
    <sheetView workbookViewId="0">
      <selection activeCell="F23" sqref="F23"/>
    </sheetView>
  </sheetViews>
  <sheetFormatPr defaultRowHeight="15"/>
  <sheetData>
    <row r="1" spans="1:5" ht="19.5" thickBot="1">
      <c r="A1" s="1" t="s">
        <v>139</v>
      </c>
      <c r="B1" s="1"/>
      <c r="C1" s="1"/>
      <c r="D1" s="1"/>
      <c r="E1" s="1"/>
    </row>
    <row r="2" spans="1:5" ht="15.75" thickTop="1">
      <c r="A2" s="2" t="s">
        <v>140</v>
      </c>
      <c r="B2" s="2"/>
      <c r="C2" s="2"/>
      <c r="D2" s="2"/>
      <c r="E2"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4B1F0-8D83-4F95-B526-C607F9A0C4EC}">
  <sheetPr codeName="Sheet25"/>
  <dimension ref="A1:K62"/>
  <sheetViews>
    <sheetView tabSelected="1" workbookViewId="0">
      <selection activeCell="F64" sqref="F64"/>
    </sheetView>
  </sheetViews>
  <sheetFormatPr defaultRowHeight="15"/>
  <cols>
    <col min="5" max="5" width="35.5703125" customWidth="1"/>
    <col min="6" max="6" width="49.28515625" bestFit="1" customWidth="1"/>
    <col min="7" max="7" width="11.140625" bestFit="1" customWidth="1"/>
    <col min="8" max="8" width="16.42578125" bestFit="1" customWidth="1"/>
    <col min="9" max="9" width="14.5703125" bestFit="1" customWidth="1"/>
  </cols>
  <sheetData>
    <row r="1" spans="1:6" ht="19.5" thickBot="1">
      <c r="A1" s="1" t="s">
        <v>16</v>
      </c>
      <c r="B1" s="1"/>
      <c r="C1" s="1"/>
      <c r="D1" s="1"/>
      <c r="E1" s="1"/>
    </row>
    <row r="2" spans="1:6" ht="15.75" thickTop="1">
      <c r="A2" s="2" t="s">
        <v>377</v>
      </c>
      <c r="B2" s="2"/>
      <c r="C2" s="2"/>
      <c r="D2" s="2"/>
      <c r="E2" s="2"/>
    </row>
    <row r="5" spans="1:6">
      <c r="B5" t="s">
        <v>378</v>
      </c>
    </row>
    <row r="7" spans="1:6">
      <c r="B7" t="s">
        <v>379</v>
      </c>
    </row>
    <row r="9" spans="1:6">
      <c r="B9" t="s">
        <v>380</v>
      </c>
      <c r="C9" t="s">
        <v>381</v>
      </c>
    </row>
    <row r="11" spans="1:6">
      <c r="D11" t="s">
        <v>116</v>
      </c>
      <c r="E11" t="s">
        <v>382</v>
      </c>
      <c r="F11" t="s">
        <v>148</v>
      </c>
    </row>
    <row r="12" spans="1:6">
      <c r="D12">
        <v>10145</v>
      </c>
      <c r="E12" t="s">
        <v>46</v>
      </c>
      <c r="F12" t="s">
        <v>351</v>
      </c>
    </row>
    <row r="13" spans="1:6">
      <c r="D13">
        <v>10049</v>
      </c>
      <c r="E13" t="s">
        <v>46</v>
      </c>
      <c r="F13" t="s">
        <v>330</v>
      </c>
    </row>
    <row r="14" spans="1:6">
      <c r="D14">
        <v>10107</v>
      </c>
      <c r="E14" t="s">
        <v>46</v>
      </c>
      <c r="F14" t="s">
        <v>294</v>
      </c>
    </row>
    <row r="16" spans="1:6">
      <c r="B16" t="s">
        <v>383</v>
      </c>
      <c r="C16" t="s">
        <v>387</v>
      </c>
    </row>
    <row r="17" spans="2:11">
      <c r="C17" t="s">
        <v>388</v>
      </c>
      <c r="D17" t="s">
        <v>389</v>
      </c>
    </row>
    <row r="20" spans="2:11">
      <c r="D20" t="s">
        <v>116</v>
      </c>
      <c r="E20" t="s">
        <v>382</v>
      </c>
      <c r="F20" t="s">
        <v>148</v>
      </c>
      <c r="G20" t="s">
        <v>23</v>
      </c>
      <c r="H20" t="s">
        <v>273</v>
      </c>
      <c r="I20" t="s">
        <v>274</v>
      </c>
      <c r="J20" t="s">
        <v>159</v>
      </c>
      <c r="K20" t="s">
        <v>386</v>
      </c>
    </row>
    <row r="21" spans="2:11">
      <c r="D21">
        <v>7534</v>
      </c>
      <c r="E21" t="s">
        <v>50</v>
      </c>
      <c r="F21" t="s">
        <v>384</v>
      </c>
      <c r="G21" t="s">
        <v>203</v>
      </c>
      <c r="H21">
        <v>398</v>
      </c>
      <c r="I21">
        <v>180</v>
      </c>
      <c r="J21">
        <v>40</v>
      </c>
      <c r="K21" t="s">
        <v>255</v>
      </c>
    </row>
    <row r="22" spans="2:11">
      <c r="D22">
        <v>7534</v>
      </c>
      <c r="E22" t="s">
        <v>50</v>
      </c>
      <c r="F22" t="s">
        <v>385</v>
      </c>
      <c r="G22" t="s">
        <v>222</v>
      </c>
      <c r="H22" s="15">
        <v>1500</v>
      </c>
      <c r="I22" s="15">
        <v>770</v>
      </c>
      <c r="J22" s="15">
        <v>180</v>
      </c>
      <c r="K22" t="s">
        <v>390</v>
      </c>
    </row>
    <row r="24" spans="2:11">
      <c r="B24" t="s">
        <v>391</v>
      </c>
      <c r="C24" t="s">
        <v>392</v>
      </c>
    </row>
    <row r="25" spans="2:11">
      <c r="C25" t="s">
        <v>388</v>
      </c>
      <c r="D25" t="s">
        <v>393</v>
      </c>
    </row>
    <row r="26" spans="2:11">
      <c r="D26" t="s">
        <v>394</v>
      </c>
    </row>
    <row r="29" spans="2:11">
      <c r="D29" t="s">
        <v>116</v>
      </c>
      <c r="E29" t="s">
        <v>382</v>
      </c>
      <c r="F29" t="s">
        <v>148</v>
      </c>
      <c r="G29" t="s">
        <v>23</v>
      </c>
      <c r="H29" t="s">
        <v>273</v>
      </c>
      <c r="I29" t="s">
        <v>274</v>
      </c>
      <c r="J29" t="s">
        <v>159</v>
      </c>
      <c r="K29" t="s">
        <v>386</v>
      </c>
    </row>
    <row r="30" spans="2:11">
      <c r="D30">
        <v>10310</v>
      </c>
      <c r="E30" t="s">
        <v>70</v>
      </c>
      <c r="F30" t="s">
        <v>306</v>
      </c>
      <c r="G30" t="s">
        <v>305</v>
      </c>
      <c r="H30">
        <v>1600</v>
      </c>
      <c r="I30">
        <v>880</v>
      </c>
      <c r="J30">
        <v>80</v>
      </c>
    </row>
    <row r="31" spans="2:11">
      <c r="D31">
        <v>10389</v>
      </c>
      <c r="E31" t="s">
        <v>70</v>
      </c>
      <c r="F31" t="s">
        <v>353</v>
      </c>
      <c r="G31" t="s">
        <v>347</v>
      </c>
      <c r="H31" s="15">
        <v>320</v>
      </c>
      <c r="I31" s="15">
        <v>220</v>
      </c>
      <c r="J31" s="15">
        <v>60</v>
      </c>
      <c r="K31" t="s">
        <v>395</v>
      </c>
    </row>
    <row r="32" spans="2:11">
      <c r="D32">
        <v>10305</v>
      </c>
      <c r="E32" t="s">
        <v>70</v>
      </c>
      <c r="F32" t="s">
        <v>359</v>
      </c>
      <c r="G32" t="s">
        <v>219</v>
      </c>
      <c r="H32">
        <v>2000</v>
      </c>
      <c r="I32">
        <v>1550</v>
      </c>
      <c r="J32">
        <v>140</v>
      </c>
      <c r="K32" t="s">
        <v>236</v>
      </c>
    </row>
    <row r="34" spans="2:11">
      <c r="B34" t="s">
        <v>396</v>
      </c>
      <c r="C34" t="s">
        <v>398</v>
      </c>
    </row>
    <row r="36" spans="2:11">
      <c r="D36" t="s">
        <v>116</v>
      </c>
      <c r="E36" t="s">
        <v>382</v>
      </c>
      <c r="F36" t="s">
        <v>148</v>
      </c>
      <c r="G36" t="s">
        <v>23</v>
      </c>
      <c r="H36" t="s">
        <v>273</v>
      </c>
      <c r="I36" t="s">
        <v>274</v>
      </c>
      <c r="J36" t="s">
        <v>159</v>
      </c>
      <c r="K36" t="s">
        <v>386</v>
      </c>
    </row>
    <row r="37" spans="2:11">
      <c r="D37">
        <v>11599</v>
      </c>
      <c r="E37" s="27" t="s">
        <v>262</v>
      </c>
      <c r="F37" s="27" t="s">
        <v>307</v>
      </c>
      <c r="G37" s="27" t="s">
        <v>209</v>
      </c>
      <c r="H37">
        <v>120</v>
      </c>
      <c r="I37">
        <v>20</v>
      </c>
      <c r="J37">
        <v>20</v>
      </c>
      <c r="K37" t="s">
        <v>397</v>
      </c>
    </row>
    <row r="39" spans="2:11">
      <c r="B39" t="s">
        <v>399</v>
      </c>
      <c r="C39" t="s">
        <v>402</v>
      </c>
    </row>
    <row r="40" spans="2:11">
      <c r="C40" t="s">
        <v>388</v>
      </c>
      <c r="D40" t="s">
        <v>403</v>
      </c>
    </row>
    <row r="43" spans="2:11">
      <c r="D43" t="s">
        <v>116</v>
      </c>
      <c r="E43" t="s">
        <v>382</v>
      </c>
      <c r="F43" t="s">
        <v>148</v>
      </c>
      <c r="G43" t="s">
        <v>23</v>
      </c>
      <c r="H43" t="s">
        <v>273</v>
      </c>
      <c r="I43" t="s">
        <v>274</v>
      </c>
      <c r="J43" t="s">
        <v>159</v>
      </c>
      <c r="K43" t="s">
        <v>386</v>
      </c>
    </row>
    <row r="44" spans="2:11">
      <c r="D44" s="26">
        <v>10243</v>
      </c>
      <c r="E44" s="26" t="s">
        <v>87</v>
      </c>
      <c r="F44" t="s">
        <v>344</v>
      </c>
      <c r="G44" t="s">
        <v>213</v>
      </c>
      <c r="H44" s="3"/>
      <c r="I44">
        <v>280</v>
      </c>
      <c r="J44">
        <v>60</v>
      </c>
      <c r="K44" t="s">
        <v>400</v>
      </c>
    </row>
    <row r="45" spans="2:11">
      <c r="D45" s="27">
        <v>10102</v>
      </c>
      <c r="E45" s="27" t="s">
        <v>87</v>
      </c>
      <c r="F45" t="s">
        <v>316</v>
      </c>
      <c r="G45" t="s">
        <v>212</v>
      </c>
      <c r="H45">
        <v>475</v>
      </c>
      <c r="I45">
        <v>220</v>
      </c>
      <c r="J45">
        <v>60</v>
      </c>
      <c r="K45" t="s">
        <v>401</v>
      </c>
    </row>
    <row r="47" spans="2:11">
      <c r="B47" t="s">
        <v>404</v>
      </c>
      <c r="C47" t="s">
        <v>405</v>
      </c>
    </row>
    <row r="49" spans="2:11">
      <c r="D49" t="s">
        <v>116</v>
      </c>
      <c r="E49" t="s">
        <v>382</v>
      </c>
      <c r="F49" t="s">
        <v>148</v>
      </c>
      <c r="G49" t="s">
        <v>23</v>
      </c>
      <c r="H49" t="s">
        <v>273</v>
      </c>
      <c r="I49" t="s">
        <v>274</v>
      </c>
      <c r="J49" t="s">
        <v>159</v>
      </c>
      <c r="K49" t="s">
        <v>386</v>
      </c>
    </row>
    <row r="50" spans="2:11">
      <c r="D50" s="26">
        <v>10413</v>
      </c>
      <c r="E50" s="26" t="s">
        <v>91</v>
      </c>
      <c r="F50" t="s">
        <v>331</v>
      </c>
      <c r="G50" t="s">
        <v>202</v>
      </c>
      <c r="H50">
        <v>115</v>
      </c>
      <c r="I50">
        <v>100</v>
      </c>
      <c r="J50">
        <v>20</v>
      </c>
      <c r="K50" t="s">
        <v>406</v>
      </c>
    </row>
    <row r="52" spans="2:11">
      <c r="B52" t="s">
        <v>407</v>
      </c>
      <c r="C52" t="s">
        <v>409</v>
      </c>
    </row>
    <row r="54" spans="2:11">
      <c r="D54" t="s">
        <v>116</v>
      </c>
      <c r="E54" t="s">
        <v>382</v>
      </c>
      <c r="F54" t="s">
        <v>148</v>
      </c>
      <c r="G54" t="s">
        <v>23</v>
      </c>
      <c r="H54" t="s">
        <v>273</v>
      </c>
      <c r="I54" t="s">
        <v>274</v>
      </c>
      <c r="J54" t="s">
        <v>159</v>
      </c>
      <c r="K54" t="s">
        <v>386</v>
      </c>
    </row>
    <row r="55" spans="2:11">
      <c r="D55">
        <v>10217</v>
      </c>
      <c r="E55" t="s">
        <v>92</v>
      </c>
      <c r="F55" t="s">
        <v>298</v>
      </c>
      <c r="G55" t="s">
        <v>195</v>
      </c>
      <c r="H55">
        <v>70</v>
      </c>
      <c r="I55">
        <v>60</v>
      </c>
      <c r="J55">
        <v>60</v>
      </c>
      <c r="K55" t="s">
        <v>408</v>
      </c>
    </row>
    <row r="56" spans="2:11">
      <c r="D56">
        <v>10301</v>
      </c>
      <c r="E56" t="s">
        <v>92</v>
      </c>
      <c r="F56" t="s">
        <v>297</v>
      </c>
      <c r="G56" t="s">
        <v>203</v>
      </c>
      <c r="H56">
        <v>230</v>
      </c>
      <c r="I56">
        <v>100</v>
      </c>
      <c r="J56">
        <v>20</v>
      </c>
      <c r="K56" s="28" t="s">
        <v>267</v>
      </c>
    </row>
    <row r="58" spans="2:11">
      <c r="B58" t="s">
        <v>410</v>
      </c>
      <c r="C58" t="s">
        <v>411</v>
      </c>
    </row>
    <row r="60" spans="2:11">
      <c r="D60" t="s">
        <v>116</v>
      </c>
      <c r="E60" t="s">
        <v>382</v>
      </c>
      <c r="F60" t="s">
        <v>148</v>
      </c>
      <c r="G60" t="s">
        <v>23</v>
      </c>
      <c r="H60" t="s">
        <v>273</v>
      </c>
      <c r="I60" t="s">
        <v>274</v>
      </c>
      <c r="J60" t="s">
        <v>159</v>
      </c>
      <c r="K60" t="s">
        <v>386</v>
      </c>
    </row>
    <row r="61" spans="2:11">
      <c r="D61">
        <v>11423</v>
      </c>
      <c r="E61" t="s">
        <v>268</v>
      </c>
      <c r="F61" t="s">
        <v>284</v>
      </c>
      <c r="G61" t="s">
        <v>214</v>
      </c>
      <c r="H61">
        <v>450</v>
      </c>
      <c r="I61">
        <v>220</v>
      </c>
      <c r="J61">
        <v>80</v>
      </c>
    </row>
    <row r="62" spans="2:11">
      <c r="D62">
        <v>11387</v>
      </c>
      <c r="E62" t="s">
        <v>268</v>
      </c>
      <c r="F62" t="s">
        <v>355</v>
      </c>
      <c r="G62" t="s">
        <v>231</v>
      </c>
      <c r="H62">
        <v>490</v>
      </c>
      <c r="I62">
        <v>300</v>
      </c>
      <c r="J62">
        <v>60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0D892-A6D3-453C-88D4-813001A2BAE3}">
  <sheetPr codeName="Sheet10">
    <tabColor theme="8"/>
  </sheetPr>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95887-E275-4011-95CF-EE94CD0574AB}">
  <sheetPr codeName="Sheet11">
    <tabColor theme="8" tint="0.79998168889431442"/>
  </sheetPr>
  <dimension ref="A1:Q97"/>
  <sheetViews>
    <sheetView topLeftCell="A28" zoomScale="55" zoomScaleNormal="55" workbookViewId="0">
      <selection activeCell="F61" sqref="F61"/>
    </sheetView>
  </sheetViews>
  <sheetFormatPr defaultRowHeight="15"/>
  <cols>
    <col min="1" max="3" width="18.7109375" customWidth="1"/>
    <col min="4" max="4" width="56" customWidth="1"/>
    <col min="5" max="5" width="57.42578125" bestFit="1" customWidth="1"/>
    <col min="6" max="6" width="22.140625" customWidth="1"/>
    <col min="7" max="7" width="18.7109375" customWidth="1"/>
    <col min="8" max="8" width="20.28515625" customWidth="1"/>
    <col min="9" max="10" width="18.7109375" customWidth="1"/>
    <col min="11" max="11" width="19.42578125" customWidth="1"/>
    <col min="12" max="12" width="18.7109375" customWidth="1"/>
    <col min="13" max="13" width="23.140625" customWidth="1"/>
    <col min="14" max="14" width="19.42578125" customWidth="1"/>
    <col min="15" max="15" width="20.7109375" customWidth="1"/>
    <col min="16" max="17" width="18.7109375" customWidth="1"/>
  </cols>
  <sheetData>
    <row r="1" spans="1:17" ht="19.5" thickBot="1">
      <c r="A1" s="1" t="s">
        <v>148</v>
      </c>
      <c r="B1" s="1"/>
      <c r="C1" s="1"/>
      <c r="D1" s="1"/>
      <c r="E1" s="1"/>
    </row>
    <row r="2" spans="1:17" ht="15.75" thickTop="1">
      <c r="A2" s="2" t="s">
        <v>149</v>
      </c>
      <c r="B2" s="2"/>
      <c r="C2" s="2"/>
      <c r="D2" s="2"/>
      <c r="E2" s="2"/>
    </row>
    <row r="5" spans="1:17">
      <c r="B5" s="14" t="s">
        <v>150</v>
      </c>
    </row>
    <row r="6" spans="1:17">
      <c r="B6" s="14" t="s">
        <v>151</v>
      </c>
    </row>
    <row r="7" spans="1:17">
      <c r="B7" s="14" t="s">
        <v>152</v>
      </c>
    </row>
    <row r="9" spans="1:17">
      <c r="B9" s="14" t="s">
        <v>2</v>
      </c>
      <c r="C9" s="11">
        <v>1</v>
      </c>
      <c r="D9" s="10">
        <f>C9+1</f>
        <v>2</v>
      </c>
      <c r="E9" s="10">
        <f t="shared" ref="E9:Q9" si="0">D9+1</f>
        <v>3</v>
      </c>
      <c r="F9" s="10">
        <f t="shared" si="0"/>
        <v>4</v>
      </c>
      <c r="G9" s="10">
        <f t="shared" si="0"/>
        <v>5</v>
      </c>
      <c r="H9" s="10">
        <f t="shared" si="0"/>
        <v>6</v>
      </c>
      <c r="I9" s="10">
        <f t="shared" si="0"/>
        <v>7</v>
      </c>
      <c r="J9" s="10">
        <f t="shared" si="0"/>
        <v>8</v>
      </c>
      <c r="K9" s="10">
        <f t="shared" si="0"/>
        <v>9</v>
      </c>
      <c r="L9" s="10">
        <f t="shared" si="0"/>
        <v>10</v>
      </c>
      <c r="M9" s="10">
        <f t="shared" si="0"/>
        <v>11</v>
      </c>
      <c r="N9" s="10">
        <f t="shared" si="0"/>
        <v>12</v>
      </c>
      <c r="O9" s="10">
        <f t="shared" si="0"/>
        <v>13</v>
      </c>
      <c r="P9" s="10">
        <f t="shared" si="0"/>
        <v>14</v>
      </c>
      <c r="Q9" s="10">
        <f t="shared" si="0"/>
        <v>15</v>
      </c>
    </row>
    <row r="10" spans="1:17">
      <c r="B10" s="14" t="s">
        <v>153</v>
      </c>
      <c r="C10" s="9" t="str">
        <f>C15</f>
        <v>Property ID</v>
      </c>
      <c r="D10" s="9" t="str">
        <f t="shared" ref="D10:Q10" si="1">D15</f>
        <v>Property Name</v>
      </c>
      <c r="E10" s="9" t="str">
        <f t="shared" si="1"/>
        <v>Alternate Property Name</v>
      </c>
      <c r="F10" s="9" t="str">
        <f t="shared" si="1"/>
        <v>LMS Local Property ID</v>
      </c>
      <c r="G10" s="9" t="str">
        <f t="shared" si="1"/>
        <v>County</v>
      </c>
      <c r="H10" s="9" t="str">
        <f t="shared" si="1"/>
        <v>Total Hunting Acres</v>
      </c>
      <c r="I10" s="9" t="str">
        <f t="shared" si="1"/>
        <v>Stocked by DNR</v>
      </c>
      <c r="J10" s="9" t="str">
        <f t="shared" si="1"/>
        <v>Stocked by DOC</v>
      </c>
      <c r="K10" s="9" t="str">
        <f t="shared" si="1"/>
        <v>Proposed Stocking</v>
      </c>
      <c r="L10" s="9" t="str">
        <f t="shared" si="1"/>
        <v>Previous Stocking</v>
      </c>
      <c r="M10" s="9" t="str">
        <f t="shared" si="1"/>
        <v>Max Birds per Stocking</v>
      </c>
      <c r="N10" s="9" t="str">
        <f t="shared" si="1"/>
        <v>Map Visibility Flag</v>
      </c>
      <c r="O10" s="9" t="str">
        <f t="shared" si="1"/>
        <v>Closure Restrictions</v>
      </c>
      <c r="P10" s="9" t="str">
        <f t="shared" si="1"/>
        <v>Hen Rooster Area</v>
      </c>
      <c r="Q10" s="9" t="str">
        <f t="shared" si="1"/>
        <v>Notes</v>
      </c>
    </row>
    <row r="11" spans="1:17">
      <c r="B11" s="14" t="s">
        <v>150</v>
      </c>
      <c r="C11" s="9" t="s">
        <v>161</v>
      </c>
      <c r="D11" s="9" t="s">
        <v>164</v>
      </c>
      <c r="E11" s="9" t="s">
        <v>165</v>
      </c>
      <c r="F11" s="9" t="s">
        <v>166</v>
      </c>
      <c r="G11" s="9" t="s">
        <v>167</v>
      </c>
      <c r="H11" s="9" t="s">
        <v>168</v>
      </c>
      <c r="I11" s="9" t="s">
        <v>169</v>
      </c>
      <c r="J11" s="9" t="s">
        <v>170</v>
      </c>
      <c r="K11" s="9" t="s">
        <v>171</v>
      </c>
      <c r="L11" s="9" t="s">
        <v>172</v>
      </c>
      <c r="M11" s="9" t="s">
        <v>173</v>
      </c>
      <c r="N11" s="9" t="s">
        <v>174</v>
      </c>
      <c r="O11" s="9" t="s">
        <v>175</v>
      </c>
      <c r="P11" s="9" t="s">
        <v>176</v>
      </c>
      <c r="Q11" s="9" t="s">
        <v>177</v>
      </c>
    </row>
    <row r="12" spans="1:17">
      <c r="B12" s="14" t="s">
        <v>162</v>
      </c>
      <c r="C12" s="9" t="s">
        <v>163</v>
      </c>
      <c r="D12" s="9" t="s">
        <v>178</v>
      </c>
      <c r="E12" s="9"/>
      <c r="F12" s="9"/>
      <c r="G12" s="9"/>
      <c r="H12" s="9"/>
      <c r="I12" s="9"/>
      <c r="J12" s="9"/>
      <c r="K12" s="9"/>
      <c r="L12" s="9"/>
      <c r="M12" s="9"/>
      <c r="N12" s="9"/>
      <c r="O12" s="9"/>
      <c r="P12" s="9"/>
      <c r="Q12" s="9"/>
    </row>
    <row r="15" spans="1:17" ht="39.950000000000003" customHeight="1">
      <c r="C15" s="21" t="s">
        <v>4</v>
      </c>
      <c r="D15" s="21" t="s">
        <v>5</v>
      </c>
      <c r="E15" s="21" t="s">
        <v>186</v>
      </c>
      <c r="F15" s="21" t="s">
        <v>22</v>
      </c>
      <c r="G15" s="21" t="s">
        <v>23</v>
      </c>
      <c r="H15" s="21" t="s">
        <v>154</v>
      </c>
      <c r="I15" s="21" t="s">
        <v>6</v>
      </c>
      <c r="J15" s="21" t="s">
        <v>7</v>
      </c>
      <c r="K15" s="21" t="s">
        <v>155</v>
      </c>
      <c r="L15" s="21" t="s">
        <v>156</v>
      </c>
      <c r="M15" s="21" t="s">
        <v>159</v>
      </c>
      <c r="N15" s="21" t="s">
        <v>160</v>
      </c>
      <c r="O15" s="21" t="s">
        <v>157</v>
      </c>
      <c r="P15" s="21" t="s">
        <v>158</v>
      </c>
      <c r="Q15" s="21" t="s">
        <v>16</v>
      </c>
    </row>
    <row r="16" spans="1:17">
      <c r="C16" s="9">
        <v>1</v>
      </c>
      <c r="D16" t="s">
        <v>31</v>
      </c>
      <c r="F16" s="9">
        <v>7014</v>
      </c>
      <c r="G16" t="s">
        <v>189</v>
      </c>
      <c r="H16" s="19">
        <v>40</v>
      </c>
      <c r="K16" s="19">
        <v>200</v>
      </c>
      <c r="L16" s="19">
        <v>0</v>
      </c>
      <c r="M16" s="19">
        <v>20</v>
      </c>
      <c r="N16" t="b">
        <v>1</v>
      </c>
    </row>
    <row r="17" spans="3:17">
      <c r="C17" s="9">
        <v>2</v>
      </c>
      <c r="D17" t="s">
        <v>32</v>
      </c>
      <c r="F17" s="9">
        <v>7020</v>
      </c>
      <c r="G17" t="s">
        <v>190</v>
      </c>
      <c r="H17" s="19">
        <v>1000</v>
      </c>
      <c r="K17" s="19">
        <v>1100</v>
      </c>
      <c r="L17" s="19">
        <v>0</v>
      </c>
      <c r="M17" s="19">
        <v>120</v>
      </c>
      <c r="N17" t="b">
        <v>1</v>
      </c>
    </row>
    <row r="18" spans="3:17">
      <c r="C18" s="9">
        <v>3</v>
      </c>
      <c r="D18" t="s">
        <v>33</v>
      </c>
      <c r="E18" t="s">
        <v>187</v>
      </c>
      <c r="F18" s="9">
        <v>7030</v>
      </c>
      <c r="G18" t="s">
        <v>188</v>
      </c>
      <c r="H18" s="19">
        <v>900</v>
      </c>
      <c r="K18" s="19">
        <v>800</v>
      </c>
      <c r="L18" s="19">
        <v>0</v>
      </c>
      <c r="M18" s="19">
        <v>100</v>
      </c>
      <c r="N18" t="b">
        <v>1</v>
      </c>
    </row>
    <row r="19" spans="3:17">
      <c r="C19" s="9">
        <v>4</v>
      </c>
      <c r="D19" t="s">
        <v>34</v>
      </c>
      <c r="F19" s="9">
        <v>7090</v>
      </c>
      <c r="G19" t="s">
        <v>191</v>
      </c>
      <c r="H19" s="19">
        <v>2000</v>
      </c>
      <c r="K19" s="19">
        <v>1100</v>
      </c>
      <c r="L19" s="19">
        <v>0</v>
      </c>
      <c r="M19" s="19">
        <v>120</v>
      </c>
      <c r="N19" t="b">
        <v>1</v>
      </c>
    </row>
    <row r="20" spans="3:17">
      <c r="C20" s="9">
        <v>5</v>
      </c>
      <c r="D20" t="s">
        <v>35</v>
      </c>
      <c r="E20" t="s">
        <v>217</v>
      </c>
      <c r="F20" s="9">
        <v>7095</v>
      </c>
      <c r="G20" t="s">
        <v>194</v>
      </c>
      <c r="H20" s="19">
        <v>1980</v>
      </c>
      <c r="K20" s="19">
        <v>1200</v>
      </c>
      <c r="L20" s="19">
        <v>0</v>
      </c>
      <c r="M20" s="19">
        <v>120</v>
      </c>
      <c r="N20" t="b">
        <v>1</v>
      </c>
    </row>
    <row r="21" spans="3:17">
      <c r="C21" s="9">
        <v>6</v>
      </c>
      <c r="D21" t="s">
        <v>36</v>
      </c>
      <c r="E21" t="s">
        <v>218</v>
      </c>
      <c r="F21" s="9">
        <v>7170</v>
      </c>
      <c r="G21" t="s">
        <v>219</v>
      </c>
      <c r="H21" s="19">
        <v>1450</v>
      </c>
      <c r="K21" s="19">
        <v>420</v>
      </c>
      <c r="L21" s="19">
        <v>0</v>
      </c>
      <c r="M21" s="19">
        <v>80</v>
      </c>
      <c r="N21" t="b">
        <v>1</v>
      </c>
    </row>
    <row r="22" spans="3:17">
      <c r="C22" s="9">
        <v>7</v>
      </c>
      <c r="D22" t="s">
        <v>37</v>
      </c>
      <c r="F22" s="9">
        <v>7215</v>
      </c>
      <c r="G22" t="s">
        <v>192</v>
      </c>
      <c r="H22" s="19">
        <v>0</v>
      </c>
      <c r="K22" s="19">
        <v>160</v>
      </c>
      <c r="L22" s="19">
        <v>0</v>
      </c>
      <c r="M22" s="20">
        <v>0</v>
      </c>
      <c r="N22" t="b">
        <v>1</v>
      </c>
    </row>
    <row r="23" spans="3:17">
      <c r="C23" s="9">
        <v>8</v>
      </c>
      <c r="D23" t="s">
        <v>38</v>
      </c>
      <c r="F23" s="9">
        <v>7240</v>
      </c>
      <c r="G23" t="s">
        <v>193</v>
      </c>
      <c r="H23" s="19">
        <v>1300</v>
      </c>
      <c r="K23" s="19">
        <v>400</v>
      </c>
      <c r="L23" s="19">
        <v>800</v>
      </c>
      <c r="M23" s="19">
        <v>100</v>
      </c>
      <c r="N23" t="b">
        <v>1</v>
      </c>
    </row>
    <row r="24" spans="3:17">
      <c r="C24" s="9">
        <v>9</v>
      </c>
      <c r="D24" t="s">
        <v>39</v>
      </c>
      <c r="F24" s="9">
        <v>7250</v>
      </c>
      <c r="G24" t="s">
        <v>194</v>
      </c>
      <c r="H24" s="19">
        <v>3500</v>
      </c>
      <c r="K24" s="19">
        <v>2380</v>
      </c>
      <c r="L24" s="19">
        <v>0</v>
      </c>
      <c r="M24" s="19">
        <v>200</v>
      </c>
      <c r="N24" t="b">
        <v>1</v>
      </c>
    </row>
    <row r="25" spans="3:17">
      <c r="C25" s="9">
        <v>10</v>
      </c>
      <c r="D25" t="s">
        <v>40</v>
      </c>
      <c r="F25" s="9">
        <v>7710</v>
      </c>
      <c r="G25" t="s">
        <v>195</v>
      </c>
      <c r="H25" s="19">
        <v>750</v>
      </c>
      <c r="K25" s="19">
        <v>420</v>
      </c>
      <c r="L25" s="19">
        <v>440</v>
      </c>
      <c r="M25" s="19">
        <v>40</v>
      </c>
      <c r="N25" t="b">
        <v>1</v>
      </c>
    </row>
    <row r="26" spans="3:17">
      <c r="C26" s="9">
        <v>11</v>
      </c>
      <c r="D26" t="s">
        <v>41</v>
      </c>
      <c r="F26" s="9">
        <v>7370</v>
      </c>
      <c r="G26" t="s">
        <v>194</v>
      </c>
      <c r="H26" s="19">
        <v>1668</v>
      </c>
      <c r="K26" s="19">
        <v>860</v>
      </c>
      <c r="L26" s="19">
        <v>0</v>
      </c>
      <c r="M26" s="19">
        <v>80</v>
      </c>
      <c r="N26" t="b">
        <v>1</v>
      </c>
    </row>
    <row r="27" spans="3:17">
      <c r="C27" s="9">
        <v>12</v>
      </c>
      <c r="D27" t="s">
        <v>42</v>
      </c>
      <c r="F27" s="9">
        <v>790</v>
      </c>
      <c r="G27" t="s">
        <v>194</v>
      </c>
      <c r="H27" s="19">
        <v>300</v>
      </c>
      <c r="K27" s="19">
        <v>140</v>
      </c>
      <c r="L27" s="19">
        <v>0</v>
      </c>
      <c r="M27" s="19">
        <v>20</v>
      </c>
      <c r="N27" t="b">
        <v>1</v>
      </c>
    </row>
    <row r="28" spans="3:17">
      <c r="C28" s="9">
        <v>13</v>
      </c>
      <c r="D28" t="s">
        <v>43</v>
      </c>
      <c r="F28" s="9">
        <v>7430</v>
      </c>
      <c r="G28" t="s">
        <v>196</v>
      </c>
      <c r="H28" s="19">
        <v>1500</v>
      </c>
      <c r="K28" s="19">
        <v>800</v>
      </c>
      <c r="L28" s="19">
        <v>840</v>
      </c>
      <c r="M28" s="20">
        <v>0</v>
      </c>
      <c r="N28" s="15" t="b">
        <v>0</v>
      </c>
    </row>
    <row r="29" spans="3:17">
      <c r="C29" s="9">
        <v>14</v>
      </c>
      <c r="D29" t="s">
        <v>44</v>
      </c>
      <c r="F29" s="9">
        <v>7450</v>
      </c>
      <c r="G29" t="s">
        <v>197</v>
      </c>
      <c r="H29" s="19">
        <v>2800</v>
      </c>
      <c r="K29" s="19">
        <v>1640</v>
      </c>
      <c r="L29" s="19">
        <v>0</v>
      </c>
      <c r="M29" s="19">
        <v>180</v>
      </c>
      <c r="N29" t="b">
        <v>1</v>
      </c>
    </row>
    <row r="30" spans="3:17">
      <c r="C30" s="9">
        <v>15</v>
      </c>
      <c r="D30" t="s">
        <v>45</v>
      </c>
      <c r="F30" s="9">
        <v>7460</v>
      </c>
      <c r="G30" t="s">
        <v>191</v>
      </c>
      <c r="H30" s="19">
        <v>900</v>
      </c>
      <c r="K30" s="19">
        <v>2000</v>
      </c>
      <c r="L30" s="19">
        <v>0</v>
      </c>
      <c r="M30" s="19">
        <v>180</v>
      </c>
      <c r="N30" t="b">
        <v>1</v>
      </c>
    </row>
    <row r="31" spans="3:17">
      <c r="C31" s="9">
        <v>16</v>
      </c>
      <c r="D31" s="18" t="s">
        <v>228</v>
      </c>
      <c r="E31" s="18" t="s">
        <v>46</v>
      </c>
      <c r="F31" s="17">
        <v>10049</v>
      </c>
      <c r="G31" s="18" t="s">
        <v>231</v>
      </c>
      <c r="H31">
        <v>400</v>
      </c>
      <c r="I31" t="b">
        <v>1</v>
      </c>
      <c r="J31" t="b">
        <v>0</v>
      </c>
      <c r="K31">
        <v>240</v>
      </c>
      <c r="L31" s="19">
        <v>0</v>
      </c>
      <c r="M31">
        <v>60</v>
      </c>
      <c r="N31" t="b">
        <v>1</v>
      </c>
      <c r="O31" t="s">
        <v>179</v>
      </c>
      <c r="P31" t="s">
        <v>179</v>
      </c>
      <c r="Q31" t="s">
        <v>232</v>
      </c>
    </row>
    <row r="32" spans="3:17">
      <c r="C32" s="9">
        <v>17</v>
      </c>
      <c r="D32" s="18" t="s">
        <v>229</v>
      </c>
      <c r="E32" s="18" t="s">
        <v>46</v>
      </c>
      <c r="F32" s="17">
        <v>10107</v>
      </c>
      <c r="G32" s="18" t="s">
        <v>231</v>
      </c>
      <c r="H32">
        <v>200</v>
      </c>
      <c r="I32" t="b">
        <v>1</v>
      </c>
      <c r="J32" t="b">
        <v>0</v>
      </c>
      <c r="K32">
        <v>120</v>
      </c>
      <c r="L32" s="19">
        <v>0</v>
      </c>
      <c r="M32">
        <v>20</v>
      </c>
      <c r="N32" t="b">
        <v>1</v>
      </c>
      <c r="O32" t="s">
        <v>179</v>
      </c>
      <c r="P32" t="s">
        <v>179</v>
      </c>
      <c r="Q32" t="s">
        <v>234</v>
      </c>
    </row>
    <row r="33" spans="3:17">
      <c r="C33" s="9">
        <v>18</v>
      </c>
      <c r="D33" s="18" t="s">
        <v>230</v>
      </c>
      <c r="E33" s="18" t="s">
        <v>46</v>
      </c>
      <c r="F33" s="17">
        <v>10145</v>
      </c>
      <c r="G33" s="18" t="s">
        <v>205</v>
      </c>
      <c r="H33">
        <v>120</v>
      </c>
      <c r="I33" t="b">
        <v>0</v>
      </c>
      <c r="J33" t="b">
        <v>1</v>
      </c>
      <c r="K33">
        <v>80</v>
      </c>
      <c r="L33" s="19">
        <v>0</v>
      </c>
      <c r="M33">
        <v>20</v>
      </c>
      <c r="N33" t="b">
        <v>1</v>
      </c>
      <c r="O33" t="s">
        <v>179</v>
      </c>
      <c r="P33" t="s">
        <v>179</v>
      </c>
      <c r="Q33" t="s">
        <v>233</v>
      </c>
    </row>
    <row r="34" spans="3:17">
      <c r="C34" s="9">
        <v>19</v>
      </c>
      <c r="D34" t="s">
        <v>47</v>
      </c>
      <c r="F34" s="9">
        <v>7494</v>
      </c>
      <c r="G34" t="s">
        <v>191</v>
      </c>
      <c r="H34" s="19">
        <v>4741</v>
      </c>
      <c r="K34" s="19">
        <v>2000</v>
      </c>
      <c r="L34" s="19">
        <v>0</v>
      </c>
      <c r="M34" s="19">
        <v>180</v>
      </c>
      <c r="N34" t="b">
        <v>1</v>
      </c>
    </row>
    <row r="35" spans="3:17">
      <c r="C35" s="9">
        <v>20</v>
      </c>
      <c r="D35" t="s">
        <v>48</v>
      </c>
      <c r="F35" s="9">
        <v>7510</v>
      </c>
      <c r="G35" t="s">
        <v>198</v>
      </c>
      <c r="H35" s="19">
        <v>1600</v>
      </c>
      <c r="K35" s="19">
        <v>740</v>
      </c>
      <c r="L35" s="19">
        <v>0</v>
      </c>
      <c r="M35" s="19">
        <v>100</v>
      </c>
      <c r="N35" t="b">
        <v>1</v>
      </c>
    </row>
    <row r="36" spans="3:17">
      <c r="C36" s="9">
        <v>21</v>
      </c>
      <c r="D36" t="s">
        <v>49</v>
      </c>
      <c r="F36" s="9">
        <v>7520</v>
      </c>
      <c r="G36" t="s">
        <v>199</v>
      </c>
      <c r="H36" s="19">
        <v>200</v>
      </c>
      <c r="K36" s="19">
        <v>40</v>
      </c>
      <c r="L36" s="19">
        <v>40</v>
      </c>
      <c r="M36" s="19">
        <v>40</v>
      </c>
      <c r="N36" t="b">
        <v>1</v>
      </c>
    </row>
    <row r="37" spans="3:17">
      <c r="C37" s="9">
        <v>22</v>
      </c>
      <c r="D37" s="15" t="s">
        <v>50</v>
      </c>
      <c r="E37" t="s">
        <v>221</v>
      </c>
      <c r="F37" s="16">
        <v>7534</v>
      </c>
      <c r="G37" s="15" t="s">
        <v>222</v>
      </c>
      <c r="H37" s="19">
        <v>300</v>
      </c>
      <c r="K37" s="19">
        <v>160</v>
      </c>
      <c r="L37" s="19">
        <v>0</v>
      </c>
      <c r="M37" s="19">
        <v>40</v>
      </c>
      <c r="N37" s="22" t="b">
        <v>1</v>
      </c>
    </row>
    <row r="38" spans="3:17">
      <c r="C38" s="9">
        <v>23</v>
      </c>
      <c r="D38" s="15" t="s">
        <v>105</v>
      </c>
      <c r="E38" t="s">
        <v>220</v>
      </c>
      <c r="F38" s="16">
        <v>7535</v>
      </c>
      <c r="G38" s="15" t="s">
        <v>203</v>
      </c>
      <c r="H38" s="19">
        <v>398</v>
      </c>
      <c r="K38" s="19">
        <v>180</v>
      </c>
      <c r="L38" s="19">
        <v>0</v>
      </c>
      <c r="M38" s="19">
        <v>40</v>
      </c>
      <c r="N38" s="16" t="b">
        <v>0</v>
      </c>
    </row>
    <row r="39" spans="3:17">
      <c r="C39" s="9">
        <v>24</v>
      </c>
      <c r="D39" t="s">
        <v>51</v>
      </c>
      <c r="F39" s="9">
        <v>7540</v>
      </c>
      <c r="G39" t="s">
        <v>194</v>
      </c>
      <c r="H39" s="19">
        <v>1450</v>
      </c>
      <c r="K39" s="19">
        <v>960</v>
      </c>
      <c r="L39" s="19">
        <v>0</v>
      </c>
      <c r="M39" s="19">
        <v>80</v>
      </c>
      <c r="N39" t="b">
        <v>1</v>
      </c>
    </row>
    <row r="40" spans="3:17">
      <c r="C40" s="9">
        <v>25</v>
      </c>
      <c r="D40" t="s">
        <v>52</v>
      </c>
      <c r="F40" s="9">
        <v>7550</v>
      </c>
      <c r="G40" t="s">
        <v>200</v>
      </c>
      <c r="H40" s="19">
        <v>1400</v>
      </c>
      <c r="K40" s="19">
        <v>1100</v>
      </c>
      <c r="L40" s="19">
        <v>0</v>
      </c>
      <c r="M40" s="19">
        <v>120</v>
      </c>
      <c r="N40" t="b">
        <v>1</v>
      </c>
    </row>
    <row r="41" spans="3:17">
      <c r="C41" s="9">
        <v>26</v>
      </c>
      <c r="D41" t="s">
        <v>53</v>
      </c>
      <c r="F41" s="9">
        <v>7560</v>
      </c>
      <c r="G41" t="s">
        <v>198</v>
      </c>
      <c r="H41" s="19">
        <v>300</v>
      </c>
      <c r="K41" s="19">
        <v>140</v>
      </c>
      <c r="L41" s="19">
        <v>0</v>
      </c>
      <c r="M41" s="19">
        <v>40</v>
      </c>
      <c r="N41" t="b">
        <v>1</v>
      </c>
    </row>
    <row r="42" spans="3:17">
      <c r="C42" s="9">
        <v>27</v>
      </c>
      <c r="D42" t="s">
        <v>223</v>
      </c>
      <c r="E42" t="s">
        <v>223</v>
      </c>
      <c r="F42" s="9">
        <v>7570</v>
      </c>
      <c r="G42" t="s">
        <v>215</v>
      </c>
      <c r="H42" s="19">
        <v>140</v>
      </c>
      <c r="K42" s="19">
        <v>0</v>
      </c>
      <c r="L42" s="19">
        <v>0</v>
      </c>
      <c r="M42" s="19">
        <v>100</v>
      </c>
      <c r="N42" t="b">
        <v>1</v>
      </c>
    </row>
    <row r="43" spans="3:17">
      <c r="C43" s="9">
        <v>28</v>
      </c>
      <c r="D43" t="s">
        <v>55</v>
      </c>
      <c r="F43" s="9">
        <v>7620</v>
      </c>
      <c r="G43" t="s">
        <v>201</v>
      </c>
      <c r="H43" s="19">
        <v>215</v>
      </c>
      <c r="K43" s="19">
        <v>220</v>
      </c>
      <c r="L43" s="19">
        <v>220</v>
      </c>
      <c r="M43" s="19">
        <v>30</v>
      </c>
      <c r="N43" t="b">
        <v>1</v>
      </c>
    </row>
    <row r="44" spans="3:17">
      <c r="C44" s="9">
        <v>29</v>
      </c>
      <c r="D44" t="s">
        <v>56</v>
      </c>
      <c r="F44" s="9">
        <v>7630</v>
      </c>
      <c r="G44" t="s">
        <v>202</v>
      </c>
      <c r="H44" s="19">
        <v>1000</v>
      </c>
      <c r="K44" s="19">
        <v>640</v>
      </c>
      <c r="L44" s="19">
        <v>0</v>
      </c>
      <c r="M44" s="19">
        <v>60</v>
      </c>
      <c r="N44" t="b">
        <v>1</v>
      </c>
    </row>
    <row r="45" spans="3:17">
      <c r="C45" s="9">
        <v>30</v>
      </c>
      <c r="D45" t="s">
        <v>57</v>
      </c>
      <c r="F45" s="9">
        <v>7640</v>
      </c>
      <c r="G45" t="s">
        <v>194</v>
      </c>
      <c r="H45" s="19">
        <v>600</v>
      </c>
      <c r="K45" s="19">
        <v>380</v>
      </c>
      <c r="L45" s="19">
        <v>0</v>
      </c>
      <c r="M45" s="19">
        <v>0</v>
      </c>
      <c r="N45" t="b">
        <v>1</v>
      </c>
    </row>
    <row r="46" spans="3:17">
      <c r="C46" s="9">
        <v>31</v>
      </c>
      <c r="D46" t="s">
        <v>58</v>
      </c>
      <c r="F46" s="9">
        <v>7650</v>
      </c>
      <c r="G46" t="s">
        <v>203</v>
      </c>
      <c r="H46" s="19">
        <v>1000</v>
      </c>
      <c r="K46" s="19">
        <v>1300</v>
      </c>
      <c r="L46" s="19">
        <v>0</v>
      </c>
      <c r="M46" s="19">
        <v>120</v>
      </c>
      <c r="N46" t="b">
        <v>1</v>
      </c>
    </row>
    <row r="47" spans="3:17">
      <c r="C47" s="9">
        <v>32</v>
      </c>
      <c r="D47" t="s">
        <v>59</v>
      </c>
      <c r="F47" s="9">
        <v>7670</v>
      </c>
      <c r="G47" t="s">
        <v>188</v>
      </c>
      <c r="H47" s="19">
        <v>1100</v>
      </c>
      <c r="K47" s="19">
        <v>1000</v>
      </c>
      <c r="L47" s="19">
        <v>0</v>
      </c>
      <c r="M47" s="19">
        <v>120</v>
      </c>
      <c r="N47" t="b">
        <v>1</v>
      </c>
    </row>
    <row r="48" spans="3:17">
      <c r="C48" s="9">
        <v>33</v>
      </c>
      <c r="D48" t="s">
        <v>60</v>
      </c>
      <c r="F48" s="9">
        <v>7684</v>
      </c>
      <c r="G48" t="s">
        <v>204</v>
      </c>
      <c r="H48" s="19">
        <v>3700</v>
      </c>
      <c r="K48" s="19">
        <v>1600</v>
      </c>
      <c r="L48" s="19">
        <v>0</v>
      </c>
      <c r="M48" s="19">
        <v>160</v>
      </c>
      <c r="N48" t="b">
        <v>1</v>
      </c>
    </row>
    <row r="49" spans="3:17">
      <c r="C49" s="9">
        <v>34</v>
      </c>
      <c r="D49" t="s">
        <v>61</v>
      </c>
      <c r="F49" s="9">
        <v>9240</v>
      </c>
      <c r="G49" t="s">
        <v>189</v>
      </c>
      <c r="H49" s="19">
        <v>5200</v>
      </c>
      <c r="K49" s="19">
        <v>2740</v>
      </c>
      <c r="L49" s="19">
        <v>0</v>
      </c>
      <c r="M49" s="19">
        <v>320</v>
      </c>
      <c r="N49" t="b">
        <v>1</v>
      </c>
    </row>
    <row r="50" spans="3:17">
      <c r="C50" s="9">
        <v>35</v>
      </c>
      <c r="D50" t="s">
        <v>62</v>
      </c>
      <c r="F50" s="9">
        <v>9260</v>
      </c>
      <c r="G50" t="s">
        <v>205</v>
      </c>
      <c r="H50" s="19">
        <v>5000</v>
      </c>
      <c r="K50" s="19">
        <v>3340</v>
      </c>
      <c r="L50" s="19">
        <v>3500</v>
      </c>
      <c r="M50" s="19">
        <v>100</v>
      </c>
      <c r="N50" t="b">
        <v>1</v>
      </c>
    </row>
    <row r="51" spans="3:17">
      <c r="C51" s="9">
        <v>36</v>
      </c>
      <c r="D51" t="s">
        <v>63</v>
      </c>
      <c r="F51" s="9">
        <v>10524</v>
      </c>
      <c r="G51" t="s">
        <v>206</v>
      </c>
      <c r="H51" s="19">
        <v>7000</v>
      </c>
      <c r="K51" s="19">
        <v>2380</v>
      </c>
      <c r="L51" s="19">
        <v>2530</v>
      </c>
      <c r="M51" s="19">
        <v>320</v>
      </c>
      <c r="N51" s="23" t="b">
        <v>0</v>
      </c>
      <c r="Q51" t="s">
        <v>235</v>
      </c>
    </row>
    <row r="52" spans="3:17">
      <c r="C52" s="9">
        <v>37</v>
      </c>
      <c r="D52" t="s">
        <v>64</v>
      </c>
      <c r="F52" s="9">
        <v>7735</v>
      </c>
      <c r="G52" t="s">
        <v>207</v>
      </c>
      <c r="H52" s="19">
        <v>1300</v>
      </c>
      <c r="K52" s="19">
        <v>500</v>
      </c>
      <c r="L52" s="19">
        <v>720</v>
      </c>
      <c r="M52" s="19">
        <v>100</v>
      </c>
      <c r="N52" t="b">
        <v>1</v>
      </c>
    </row>
    <row r="53" spans="3:17">
      <c r="C53" s="9">
        <v>38</v>
      </c>
      <c r="D53" t="s">
        <v>65</v>
      </c>
      <c r="F53" s="9">
        <v>7740</v>
      </c>
      <c r="G53" t="s">
        <v>193</v>
      </c>
      <c r="H53" s="19">
        <v>2000</v>
      </c>
      <c r="K53" s="19">
        <v>1120</v>
      </c>
      <c r="L53" s="19">
        <v>1120</v>
      </c>
      <c r="M53" s="19">
        <v>120</v>
      </c>
      <c r="N53" t="b">
        <v>1</v>
      </c>
    </row>
    <row r="54" spans="3:17">
      <c r="C54" s="9">
        <v>39</v>
      </c>
      <c r="D54" t="s">
        <v>66</v>
      </c>
      <c r="F54" s="9">
        <v>7800</v>
      </c>
      <c r="G54" t="s">
        <v>204</v>
      </c>
      <c r="H54" s="19">
        <v>2950</v>
      </c>
      <c r="K54" s="19">
        <v>1300</v>
      </c>
      <c r="L54" s="19"/>
      <c r="M54" s="19">
        <v>120</v>
      </c>
      <c r="N54" t="b">
        <v>1</v>
      </c>
    </row>
    <row r="55" spans="3:17">
      <c r="C55" s="9">
        <v>40</v>
      </c>
      <c r="D55" t="s">
        <v>67</v>
      </c>
      <c r="F55" s="9">
        <v>7815</v>
      </c>
      <c r="G55" t="s">
        <v>192</v>
      </c>
      <c r="H55" s="19">
        <v>0</v>
      </c>
      <c r="K55" s="19">
        <v>200</v>
      </c>
      <c r="L55" s="19"/>
      <c r="M55" s="19">
        <v>0</v>
      </c>
      <c r="N55" t="b">
        <v>1</v>
      </c>
    </row>
    <row r="56" spans="3:17">
      <c r="C56" s="9">
        <v>41</v>
      </c>
      <c r="D56" t="s">
        <v>68</v>
      </c>
      <c r="F56" s="9">
        <v>7852</v>
      </c>
      <c r="G56" t="s">
        <v>191</v>
      </c>
      <c r="H56" s="19">
        <v>895</v>
      </c>
      <c r="K56" s="19">
        <v>1000</v>
      </c>
      <c r="L56" s="19"/>
      <c r="M56" s="19">
        <v>120</v>
      </c>
      <c r="N56" t="b">
        <v>1</v>
      </c>
    </row>
    <row r="57" spans="3:17">
      <c r="C57" s="9">
        <v>42</v>
      </c>
      <c r="D57" t="s">
        <v>69</v>
      </c>
      <c r="F57" s="9">
        <v>7880</v>
      </c>
      <c r="G57" t="s">
        <v>194</v>
      </c>
      <c r="H57" s="19">
        <v>1140</v>
      </c>
      <c r="K57" s="19">
        <v>600</v>
      </c>
      <c r="L57" s="19"/>
      <c r="M57" s="19">
        <v>40</v>
      </c>
      <c r="N57" t="b">
        <v>1</v>
      </c>
    </row>
    <row r="58" spans="3:17">
      <c r="C58" s="9">
        <v>43</v>
      </c>
      <c r="D58" s="15" t="s">
        <v>224</v>
      </c>
      <c r="E58" s="15" t="s">
        <v>180</v>
      </c>
      <c r="F58" s="16">
        <v>10305</v>
      </c>
      <c r="G58" s="15" t="s">
        <v>219</v>
      </c>
      <c r="H58" s="19">
        <v>2000</v>
      </c>
      <c r="K58" s="19">
        <v>1550</v>
      </c>
      <c r="L58" s="19">
        <v>1120</v>
      </c>
      <c r="M58" s="19">
        <v>140</v>
      </c>
      <c r="N58" s="23" t="b">
        <v>0</v>
      </c>
      <c r="Q58" t="s">
        <v>236</v>
      </c>
    </row>
    <row r="59" spans="3:17">
      <c r="C59" s="9">
        <v>44</v>
      </c>
      <c r="D59" s="15" t="s">
        <v>181</v>
      </c>
      <c r="F59" s="16">
        <v>10389</v>
      </c>
      <c r="H59" s="19">
        <v>120</v>
      </c>
      <c r="K59" s="19">
        <v>100</v>
      </c>
      <c r="L59" s="19"/>
      <c r="M59" s="19">
        <v>20</v>
      </c>
      <c r="N59" t="b">
        <v>1</v>
      </c>
    </row>
    <row r="60" spans="3:17">
      <c r="C60" s="9">
        <v>45</v>
      </c>
      <c r="D60" s="15" t="s">
        <v>70</v>
      </c>
      <c r="F60" s="16">
        <v>10310</v>
      </c>
      <c r="H60" s="19">
        <v>1600</v>
      </c>
      <c r="K60" s="19">
        <v>880</v>
      </c>
      <c r="L60" s="19"/>
      <c r="M60" s="19">
        <v>80</v>
      </c>
      <c r="N60" s="15" t="b">
        <v>0</v>
      </c>
    </row>
    <row r="61" spans="3:17">
      <c r="C61" s="17">
        <v>46</v>
      </c>
      <c r="D61" s="18" t="s">
        <v>225</v>
      </c>
      <c r="E61" s="18" t="s">
        <v>102</v>
      </c>
      <c r="F61" s="17">
        <v>11599</v>
      </c>
      <c r="G61" s="18" t="s">
        <v>209</v>
      </c>
      <c r="H61" s="19">
        <v>120</v>
      </c>
      <c r="K61" s="19">
        <v>20</v>
      </c>
      <c r="L61" s="19"/>
      <c r="M61" s="19">
        <v>20</v>
      </c>
      <c r="N61" s="15" t="b">
        <v>0</v>
      </c>
    </row>
    <row r="62" spans="3:17">
      <c r="C62" s="9">
        <v>47</v>
      </c>
      <c r="D62" t="s">
        <v>71</v>
      </c>
      <c r="F62" s="9">
        <v>7970</v>
      </c>
      <c r="G62" t="s">
        <v>194</v>
      </c>
      <c r="H62" s="19">
        <v>3600</v>
      </c>
      <c r="K62" s="19">
        <v>1860</v>
      </c>
      <c r="L62" s="19"/>
      <c r="M62" s="19">
        <v>200</v>
      </c>
      <c r="N62" t="b">
        <v>1</v>
      </c>
    </row>
    <row r="63" spans="3:17">
      <c r="C63" s="9">
        <v>48</v>
      </c>
      <c r="D63" t="s">
        <v>72</v>
      </c>
      <c r="F63" s="9">
        <v>7990</v>
      </c>
      <c r="G63" t="s">
        <v>208</v>
      </c>
      <c r="H63" s="19">
        <v>475</v>
      </c>
      <c r="K63" s="19">
        <v>180</v>
      </c>
      <c r="L63" s="19"/>
      <c r="M63" s="19">
        <v>60</v>
      </c>
      <c r="N63" t="b">
        <v>1</v>
      </c>
    </row>
    <row r="64" spans="3:17">
      <c r="C64" s="9">
        <v>49</v>
      </c>
      <c r="D64" t="s">
        <v>73</v>
      </c>
      <c r="F64" s="9">
        <v>8060</v>
      </c>
      <c r="G64" t="s">
        <v>198</v>
      </c>
      <c r="H64" s="19">
        <v>1300</v>
      </c>
      <c r="K64" s="19">
        <v>780</v>
      </c>
      <c r="L64" s="19"/>
      <c r="M64" s="19">
        <v>80</v>
      </c>
      <c r="N64" t="b">
        <v>1</v>
      </c>
    </row>
    <row r="65" spans="3:14">
      <c r="C65" s="9">
        <v>50</v>
      </c>
      <c r="D65" t="s">
        <v>74</v>
      </c>
      <c r="F65" s="9">
        <v>8070</v>
      </c>
      <c r="G65" t="s">
        <v>203</v>
      </c>
      <c r="H65" s="19">
        <v>750</v>
      </c>
      <c r="K65" s="19">
        <v>700</v>
      </c>
      <c r="L65" s="19"/>
      <c r="M65" s="19">
        <v>60</v>
      </c>
      <c r="N65" t="b">
        <v>1</v>
      </c>
    </row>
    <row r="66" spans="3:14">
      <c r="C66" s="9">
        <v>51</v>
      </c>
      <c r="D66" t="s">
        <v>75</v>
      </c>
      <c r="F66" s="9">
        <v>8100</v>
      </c>
      <c r="G66" t="s">
        <v>197</v>
      </c>
      <c r="H66" s="19">
        <v>650</v>
      </c>
      <c r="K66" s="19">
        <v>500</v>
      </c>
      <c r="L66" s="19"/>
      <c r="M66" s="19">
        <v>60</v>
      </c>
      <c r="N66" t="b">
        <v>1</v>
      </c>
    </row>
    <row r="67" spans="3:14">
      <c r="C67" s="9">
        <v>52</v>
      </c>
      <c r="D67" t="s">
        <v>76</v>
      </c>
      <c r="F67" s="9">
        <v>8110</v>
      </c>
      <c r="G67" t="s">
        <v>209</v>
      </c>
      <c r="H67" s="19">
        <v>500</v>
      </c>
      <c r="K67" s="19">
        <v>140</v>
      </c>
      <c r="L67" s="19"/>
      <c r="M67" s="19">
        <v>140</v>
      </c>
      <c r="N67" s="23" t="b">
        <v>0</v>
      </c>
    </row>
    <row r="68" spans="3:14">
      <c r="C68" s="9">
        <v>53</v>
      </c>
      <c r="D68" t="s">
        <v>77</v>
      </c>
      <c r="F68" s="9">
        <v>8130</v>
      </c>
      <c r="G68" t="s">
        <v>210</v>
      </c>
      <c r="H68" s="19">
        <v>1250</v>
      </c>
      <c r="K68" s="19">
        <v>780</v>
      </c>
      <c r="L68" s="19"/>
      <c r="M68" s="19">
        <v>80</v>
      </c>
      <c r="N68" t="b">
        <v>1</v>
      </c>
    </row>
    <row r="69" spans="3:14">
      <c r="C69" s="9">
        <v>54</v>
      </c>
      <c r="D69" t="s">
        <v>78</v>
      </c>
      <c r="F69" s="9">
        <v>8150</v>
      </c>
      <c r="G69" t="s">
        <v>189</v>
      </c>
      <c r="H69" s="19">
        <v>210</v>
      </c>
      <c r="K69" s="19">
        <v>300</v>
      </c>
      <c r="L69" s="19"/>
      <c r="M69" s="19">
        <v>70</v>
      </c>
      <c r="N69" t="b">
        <v>1</v>
      </c>
    </row>
    <row r="70" spans="3:14">
      <c r="C70" s="9">
        <v>55</v>
      </c>
      <c r="D70" t="s">
        <v>79</v>
      </c>
      <c r="F70" s="9">
        <v>8170</v>
      </c>
      <c r="G70" t="s">
        <v>198</v>
      </c>
      <c r="H70" s="19">
        <v>1000</v>
      </c>
      <c r="K70" s="19">
        <v>300</v>
      </c>
      <c r="L70" s="19"/>
      <c r="M70" s="19">
        <v>40</v>
      </c>
      <c r="N70" t="b">
        <v>1</v>
      </c>
    </row>
    <row r="71" spans="3:14">
      <c r="C71" s="9">
        <v>56</v>
      </c>
      <c r="D71" t="s">
        <v>80</v>
      </c>
      <c r="F71" s="9">
        <v>9263</v>
      </c>
      <c r="G71" t="s">
        <v>205</v>
      </c>
      <c r="H71" s="19">
        <v>275</v>
      </c>
      <c r="K71" s="19">
        <v>340</v>
      </c>
      <c r="L71" s="19"/>
      <c r="M71" s="19">
        <v>60</v>
      </c>
      <c r="N71" t="b">
        <v>1</v>
      </c>
    </row>
    <row r="72" spans="3:14">
      <c r="C72" s="9">
        <v>57</v>
      </c>
      <c r="D72" t="s">
        <v>81</v>
      </c>
      <c r="F72" s="9">
        <v>8600</v>
      </c>
      <c r="G72" t="s">
        <v>198</v>
      </c>
      <c r="H72" s="19">
        <v>1600</v>
      </c>
      <c r="K72" s="19">
        <v>500</v>
      </c>
      <c r="L72" s="19"/>
      <c r="M72" s="19">
        <v>40</v>
      </c>
      <c r="N72" t="b">
        <v>1</v>
      </c>
    </row>
    <row r="73" spans="3:14">
      <c r="C73" s="9">
        <v>58</v>
      </c>
      <c r="D73" t="s">
        <v>82</v>
      </c>
      <c r="F73" s="9">
        <v>8220</v>
      </c>
      <c r="G73" t="s">
        <v>198</v>
      </c>
      <c r="H73" s="19">
        <v>2000</v>
      </c>
      <c r="K73" s="19">
        <v>1600</v>
      </c>
      <c r="L73" s="19"/>
      <c r="M73" s="19">
        <v>140</v>
      </c>
      <c r="N73" t="b">
        <v>1</v>
      </c>
    </row>
    <row r="74" spans="3:14">
      <c r="C74" s="9">
        <v>59</v>
      </c>
      <c r="D74" t="s">
        <v>83</v>
      </c>
      <c r="F74" s="9">
        <v>8270</v>
      </c>
      <c r="G74" t="s">
        <v>204</v>
      </c>
      <c r="H74" s="19">
        <v>1550</v>
      </c>
      <c r="K74" s="19">
        <v>500</v>
      </c>
      <c r="L74" s="19"/>
      <c r="M74" s="19">
        <v>80</v>
      </c>
      <c r="N74" t="b">
        <v>1</v>
      </c>
    </row>
    <row r="75" spans="3:14">
      <c r="C75" s="9">
        <v>60</v>
      </c>
      <c r="D75" t="s">
        <v>84</v>
      </c>
      <c r="E75" t="s">
        <v>226</v>
      </c>
      <c r="F75" s="9">
        <v>9075</v>
      </c>
      <c r="G75" t="s">
        <v>210</v>
      </c>
      <c r="H75" s="19">
        <v>3600</v>
      </c>
      <c r="K75" s="19">
        <v>11000</v>
      </c>
      <c r="L75" s="19"/>
      <c r="M75" s="19">
        <v>200</v>
      </c>
      <c r="N75" t="b">
        <v>1</v>
      </c>
    </row>
    <row r="76" spans="3:14">
      <c r="C76" s="9">
        <v>61</v>
      </c>
      <c r="D76" t="s">
        <v>85</v>
      </c>
      <c r="F76" s="9">
        <v>8310</v>
      </c>
      <c r="G76" t="s">
        <v>204</v>
      </c>
      <c r="H76" s="19">
        <v>1000</v>
      </c>
      <c r="K76" s="19">
        <v>440</v>
      </c>
      <c r="L76" s="19"/>
      <c r="M76" s="19">
        <v>60</v>
      </c>
      <c r="N76" t="b">
        <v>1</v>
      </c>
    </row>
    <row r="77" spans="3:14">
      <c r="C77" s="9">
        <v>62</v>
      </c>
      <c r="D77" t="s">
        <v>86</v>
      </c>
      <c r="F77" s="9">
        <v>9493</v>
      </c>
      <c r="G77" t="s">
        <v>211</v>
      </c>
      <c r="H77" s="19">
        <v>1000</v>
      </c>
      <c r="K77" s="19">
        <v>640</v>
      </c>
      <c r="L77" s="19"/>
      <c r="M77" s="19">
        <v>100</v>
      </c>
      <c r="N77" t="b">
        <v>1</v>
      </c>
    </row>
    <row r="78" spans="3:14">
      <c r="C78" s="9">
        <v>63</v>
      </c>
      <c r="D78" s="18" t="s">
        <v>87</v>
      </c>
      <c r="E78" s="18" t="s">
        <v>227</v>
      </c>
      <c r="F78" s="17">
        <v>10102</v>
      </c>
      <c r="G78" s="18" t="s">
        <v>212</v>
      </c>
      <c r="H78" s="19">
        <v>475</v>
      </c>
      <c r="K78" s="19">
        <v>220</v>
      </c>
      <c r="L78" s="19">
        <v>220</v>
      </c>
      <c r="M78" s="19">
        <v>60</v>
      </c>
      <c r="N78" t="b">
        <v>1</v>
      </c>
    </row>
    <row r="79" spans="3:14">
      <c r="C79" s="9">
        <v>64</v>
      </c>
      <c r="D79" s="15" t="s">
        <v>182</v>
      </c>
      <c r="E79" s="15"/>
      <c r="F79" s="16">
        <v>10243</v>
      </c>
      <c r="G79" t="e">
        <v>#N/A</v>
      </c>
      <c r="H79" s="19">
        <v>0</v>
      </c>
      <c r="K79" s="19">
        <v>280</v>
      </c>
      <c r="L79" s="19"/>
      <c r="M79" s="19">
        <v>60</v>
      </c>
      <c r="N79" t="b">
        <v>1</v>
      </c>
    </row>
    <row r="80" spans="3:14">
      <c r="C80" s="9">
        <v>65</v>
      </c>
      <c r="D80" t="s">
        <v>88</v>
      </c>
      <c r="F80" s="9">
        <v>8550</v>
      </c>
      <c r="G80" t="s">
        <v>203</v>
      </c>
      <c r="H80" s="19">
        <v>350</v>
      </c>
      <c r="K80" s="19">
        <v>240</v>
      </c>
      <c r="L80" s="19"/>
      <c r="M80" s="19">
        <v>20</v>
      </c>
      <c r="N80" t="b">
        <v>1</v>
      </c>
    </row>
    <row r="81" spans="3:14">
      <c r="C81" s="9">
        <v>66</v>
      </c>
      <c r="D81" t="s">
        <v>89</v>
      </c>
      <c r="F81" s="9">
        <v>8560</v>
      </c>
      <c r="G81" t="s">
        <v>189</v>
      </c>
      <c r="H81" s="19">
        <v>700</v>
      </c>
      <c r="K81" s="19">
        <v>720</v>
      </c>
      <c r="L81" s="19"/>
      <c r="M81" s="19">
        <v>80</v>
      </c>
      <c r="N81" t="b">
        <v>1</v>
      </c>
    </row>
    <row r="82" spans="3:14">
      <c r="C82" s="9">
        <v>67</v>
      </c>
      <c r="D82" t="s">
        <v>90</v>
      </c>
      <c r="F82" s="9">
        <v>8581</v>
      </c>
      <c r="G82" t="s">
        <v>212</v>
      </c>
      <c r="H82" s="19">
        <v>500</v>
      </c>
      <c r="K82" s="19">
        <v>200</v>
      </c>
      <c r="L82" s="19">
        <v>200</v>
      </c>
      <c r="M82" s="19">
        <v>60</v>
      </c>
      <c r="N82" t="b">
        <v>1</v>
      </c>
    </row>
    <row r="83" spans="3:14">
      <c r="C83" s="9">
        <v>68</v>
      </c>
      <c r="D83" t="s">
        <v>91</v>
      </c>
      <c r="F83" s="9">
        <v>10413</v>
      </c>
      <c r="G83" t="e">
        <v>#N/A</v>
      </c>
      <c r="H83" s="19">
        <v>115</v>
      </c>
      <c r="K83" s="19">
        <v>100</v>
      </c>
      <c r="L83" s="19">
        <v>0</v>
      </c>
      <c r="M83" s="19">
        <v>20</v>
      </c>
      <c r="N83" t="b">
        <v>1</v>
      </c>
    </row>
    <row r="84" spans="3:14">
      <c r="C84" s="9">
        <v>69</v>
      </c>
      <c r="D84" s="15" t="s">
        <v>92</v>
      </c>
      <c r="E84" s="15"/>
      <c r="F84" s="16">
        <v>10217</v>
      </c>
      <c r="G84" t="e">
        <v>#N/A</v>
      </c>
      <c r="H84" s="19">
        <v>70</v>
      </c>
      <c r="K84" s="19">
        <v>60</v>
      </c>
      <c r="L84" s="19">
        <v>60</v>
      </c>
      <c r="M84" s="19">
        <v>60</v>
      </c>
      <c r="N84" t="b">
        <v>1</v>
      </c>
    </row>
    <row r="85" spans="3:14">
      <c r="C85" s="9">
        <v>70</v>
      </c>
      <c r="D85" s="15" t="s">
        <v>183</v>
      </c>
      <c r="E85" s="15"/>
      <c r="F85" s="16">
        <v>10301</v>
      </c>
      <c r="G85" t="e">
        <v>#N/A</v>
      </c>
      <c r="H85" s="19">
        <v>230</v>
      </c>
      <c r="K85" s="19">
        <v>100</v>
      </c>
      <c r="L85" s="19">
        <v>0</v>
      </c>
      <c r="M85" s="19">
        <v>20</v>
      </c>
      <c r="N85" t="b">
        <v>1</v>
      </c>
    </row>
    <row r="86" spans="3:14">
      <c r="C86" s="9">
        <v>71</v>
      </c>
      <c r="D86" s="15" t="s">
        <v>184</v>
      </c>
      <c r="E86" s="15"/>
      <c r="F86" s="16">
        <v>11387</v>
      </c>
      <c r="G86" t="e">
        <v>#N/A</v>
      </c>
      <c r="H86" s="19">
        <v>490</v>
      </c>
      <c r="K86" s="19">
        <v>300</v>
      </c>
      <c r="L86" s="19">
        <v>0</v>
      </c>
      <c r="M86" s="19">
        <v>60</v>
      </c>
      <c r="N86" t="b">
        <v>1</v>
      </c>
    </row>
    <row r="87" spans="3:14">
      <c r="C87" s="9">
        <v>72</v>
      </c>
      <c r="D87" s="15" t="s">
        <v>185</v>
      </c>
      <c r="E87" s="15"/>
      <c r="F87" s="16">
        <v>11423</v>
      </c>
      <c r="G87" t="e">
        <v>#N/A</v>
      </c>
      <c r="H87" s="19">
        <v>450</v>
      </c>
      <c r="K87" s="19">
        <v>220</v>
      </c>
      <c r="L87" s="19">
        <v>0</v>
      </c>
      <c r="M87" s="19">
        <v>80</v>
      </c>
      <c r="N87" t="b">
        <v>1</v>
      </c>
    </row>
    <row r="88" spans="3:14">
      <c r="C88" s="9">
        <v>73</v>
      </c>
      <c r="D88" t="s">
        <v>93</v>
      </c>
      <c r="F88" s="9">
        <v>8635</v>
      </c>
      <c r="G88" t="s">
        <v>192</v>
      </c>
      <c r="H88" s="19">
        <v>0</v>
      </c>
      <c r="K88" s="19">
        <v>100</v>
      </c>
      <c r="L88" s="19">
        <v>0</v>
      </c>
      <c r="M88" s="19">
        <v>0</v>
      </c>
      <c r="N88" t="b">
        <v>1</v>
      </c>
    </row>
    <row r="89" spans="3:14">
      <c r="C89" s="9">
        <v>74</v>
      </c>
      <c r="D89" t="s">
        <v>94</v>
      </c>
      <c r="F89" s="9">
        <v>8650</v>
      </c>
      <c r="G89" t="s">
        <v>203</v>
      </c>
      <c r="H89" s="19">
        <v>2500</v>
      </c>
      <c r="K89" s="19">
        <v>1600</v>
      </c>
      <c r="L89" s="19">
        <v>0</v>
      </c>
      <c r="M89" s="19">
        <v>180</v>
      </c>
      <c r="N89" t="b">
        <v>1</v>
      </c>
    </row>
    <row r="90" spans="3:14">
      <c r="C90" s="9">
        <v>75</v>
      </c>
      <c r="D90" t="s">
        <v>95</v>
      </c>
      <c r="F90" s="9">
        <v>8670</v>
      </c>
      <c r="G90" t="s">
        <v>202</v>
      </c>
      <c r="H90" s="19">
        <v>1000</v>
      </c>
      <c r="K90" s="19">
        <v>680</v>
      </c>
      <c r="L90" s="19">
        <v>0</v>
      </c>
      <c r="M90" s="19">
        <v>60</v>
      </c>
      <c r="N90" t="b">
        <v>1</v>
      </c>
    </row>
    <row r="91" spans="3:14">
      <c r="C91" s="9">
        <v>76</v>
      </c>
      <c r="D91" t="s">
        <v>96</v>
      </c>
      <c r="F91" s="9">
        <v>7694</v>
      </c>
      <c r="G91" t="s">
        <v>213</v>
      </c>
      <c r="H91" s="19">
        <v>1500</v>
      </c>
      <c r="K91" s="19">
        <v>1180</v>
      </c>
      <c r="L91" s="19">
        <v>0</v>
      </c>
      <c r="M91" s="19">
        <v>0</v>
      </c>
      <c r="N91" t="b">
        <v>1</v>
      </c>
    </row>
    <row r="92" spans="3:14">
      <c r="C92" s="9">
        <v>77</v>
      </c>
      <c r="D92" t="s">
        <v>97</v>
      </c>
      <c r="F92" s="9">
        <v>2623</v>
      </c>
      <c r="G92" t="s">
        <v>214</v>
      </c>
      <c r="H92" s="19">
        <v>750</v>
      </c>
      <c r="K92" s="19">
        <v>300</v>
      </c>
      <c r="L92" s="19">
        <v>0</v>
      </c>
      <c r="M92" s="19">
        <v>60</v>
      </c>
      <c r="N92" t="b">
        <v>1</v>
      </c>
    </row>
    <row r="93" spans="3:14">
      <c r="C93" s="9">
        <v>78</v>
      </c>
      <c r="D93" t="s">
        <v>98</v>
      </c>
      <c r="F93" s="9">
        <v>8790</v>
      </c>
      <c r="G93" t="s">
        <v>205</v>
      </c>
      <c r="H93" s="19">
        <v>1500</v>
      </c>
      <c r="K93" s="19">
        <v>920</v>
      </c>
      <c r="L93" s="19">
        <v>0</v>
      </c>
      <c r="M93" s="19">
        <v>100</v>
      </c>
      <c r="N93" t="b">
        <v>1</v>
      </c>
    </row>
    <row r="94" spans="3:14">
      <c r="C94" s="9">
        <v>79</v>
      </c>
      <c r="D94" t="s">
        <v>99</v>
      </c>
      <c r="F94" s="9">
        <v>8812</v>
      </c>
      <c r="G94" t="s">
        <v>204</v>
      </c>
      <c r="H94" s="19">
        <v>6760</v>
      </c>
      <c r="K94" s="19">
        <v>2780</v>
      </c>
      <c r="L94" s="19">
        <v>0</v>
      </c>
      <c r="M94" s="19">
        <v>240</v>
      </c>
      <c r="N94" t="b">
        <v>1</v>
      </c>
    </row>
    <row r="95" spans="3:14">
      <c r="C95" s="9">
        <v>80</v>
      </c>
      <c r="D95" t="s">
        <v>100</v>
      </c>
      <c r="F95" s="9">
        <v>8870</v>
      </c>
      <c r="G95" t="s">
        <v>200</v>
      </c>
      <c r="H95" s="19">
        <v>3100</v>
      </c>
      <c r="K95" s="19">
        <v>1560</v>
      </c>
      <c r="L95" s="19">
        <v>0</v>
      </c>
      <c r="M95" s="19">
        <v>160</v>
      </c>
      <c r="N95" t="b">
        <v>1</v>
      </c>
    </row>
    <row r="96" spans="3:14">
      <c r="C96" s="9">
        <v>81</v>
      </c>
      <c r="D96" t="s">
        <v>104</v>
      </c>
      <c r="F96" s="9">
        <v>11713</v>
      </c>
      <c r="G96" t="s">
        <v>215</v>
      </c>
      <c r="H96" s="19">
        <v>152</v>
      </c>
      <c r="K96" s="19">
        <v>0</v>
      </c>
      <c r="L96" s="19">
        <v>0</v>
      </c>
      <c r="M96" s="19">
        <v>100</v>
      </c>
      <c r="N96" t="b">
        <v>1</v>
      </c>
    </row>
    <row r="97" spans="3:14">
      <c r="C97" s="9">
        <v>82</v>
      </c>
      <c r="D97" t="s">
        <v>101</v>
      </c>
      <c r="F97" s="9">
        <v>8920</v>
      </c>
      <c r="G97" t="s">
        <v>216</v>
      </c>
      <c r="H97" s="19">
        <v>2000</v>
      </c>
      <c r="K97" s="19">
        <v>1600</v>
      </c>
      <c r="L97" s="19">
        <v>0</v>
      </c>
      <c r="M97" s="19">
        <v>140</v>
      </c>
      <c r="N97" t="b">
        <v>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20EAE-11C8-47CC-8BDE-5551B7BCC1FF}">
  <sheetPr codeName="Sheet18">
    <tabColor theme="6"/>
  </sheetPr>
  <dimension ref="A1"/>
  <sheetViews>
    <sheetView workbookViewId="0">
      <selection activeCell="M34" sqref="M34"/>
    </sheetView>
  </sheetViews>
  <sheetFormatPr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87719-3C56-4488-9D1E-F57B66531205}">
  <sheetPr codeName="Sheet24"/>
  <dimension ref="A3:A78"/>
  <sheetViews>
    <sheetView topLeftCell="A46" workbookViewId="0">
      <selection activeCell="J54" sqref="J54"/>
    </sheetView>
  </sheetViews>
  <sheetFormatPr defaultRowHeight="15"/>
  <cols>
    <col min="1" max="1" width="51.5703125" bestFit="1" customWidth="1"/>
  </cols>
  <sheetData>
    <row r="3" spans="1:1">
      <c r="A3" s="25" t="s">
        <v>375</v>
      </c>
    </row>
    <row r="4" spans="1:1">
      <c r="A4" s="24" t="s">
        <v>31</v>
      </c>
    </row>
    <row r="5" spans="1:1">
      <c r="A5" s="24" t="s">
        <v>32</v>
      </c>
    </row>
    <row r="6" spans="1:1">
      <c r="A6" s="24" t="s">
        <v>33</v>
      </c>
    </row>
    <row r="7" spans="1:1">
      <c r="A7" s="24" t="s">
        <v>34</v>
      </c>
    </row>
    <row r="8" spans="1:1">
      <c r="A8" s="24" t="s">
        <v>35</v>
      </c>
    </row>
    <row r="9" spans="1:1">
      <c r="A9" s="24" t="s">
        <v>36</v>
      </c>
    </row>
    <row r="10" spans="1:1">
      <c r="A10" s="24" t="s">
        <v>37</v>
      </c>
    </row>
    <row r="11" spans="1:1">
      <c r="A11" s="24" t="s">
        <v>38</v>
      </c>
    </row>
    <row r="12" spans="1:1">
      <c r="A12" s="24" t="s">
        <v>39</v>
      </c>
    </row>
    <row r="13" spans="1:1">
      <c r="A13" s="24" t="s">
        <v>40</v>
      </c>
    </row>
    <row r="14" spans="1:1">
      <c r="A14" s="24" t="s">
        <v>41</v>
      </c>
    </row>
    <row r="15" spans="1:1">
      <c r="A15" s="24" t="s">
        <v>42</v>
      </c>
    </row>
    <row r="16" spans="1:1">
      <c r="A16" s="24" t="s">
        <v>43</v>
      </c>
    </row>
    <row r="17" spans="1:1">
      <c r="A17" s="24" t="s">
        <v>44</v>
      </c>
    </row>
    <row r="18" spans="1:1">
      <c r="A18" s="24" t="s">
        <v>45</v>
      </c>
    </row>
    <row r="19" spans="1:1">
      <c r="A19" s="24" t="s">
        <v>46</v>
      </c>
    </row>
    <row r="20" spans="1:1">
      <c r="A20" s="24" t="s">
        <v>47</v>
      </c>
    </row>
    <row r="21" spans="1:1">
      <c r="A21" s="24" t="s">
        <v>48</v>
      </c>
    </row>
    <row r="22" spans="1:1">
      <c r="A22" s="24" t="s">
        <v>49</v>
      </c>
    </row>
    <row r="23" spans="1:1">
      <c r="A23" s="24" t="s">
        <v>50</v>
      </c>
    </row>
    <row r="24" spans="1:1">
      <c r="A24" s="24" t="s">
        <v>51</v>
      </c>
    </row>
    <row r="25" spans="1:1">
      <c r="A25" s="24" t="s">
        <v>52</v>
      </c>
    </row>
    <row r="26" spans="1:1">
      <c r="A26" s="24" t="s">
        <v>53</v>
      </c>
    </row>
    <row r="27" spans="1:1">
      <c r="A27" s="24" t="s">
        <v>54</v>
      </c>
    </row>
    <row r="28" spans="1:1">
      <c r="A28" s="24" t="s">
        <v>55</v>
      </c>
    </row>
    <row r="29" spans="1:1">
      <c r="A29" s="24" t="s">
        <v>56</v>
      </c>
    </row>
    <row r="30" spans="1:1">
      <c r="A30" s="24" t="s">
        <v>57</v>
      </c>
    </row>
    <row r="31" spans="1:1">
      <c r="A31" s="24" t="s">
        <v>58</v>
      </c>
    </row>
    <row r="32" spans="1:1">
      <c r="A32" s="24" t="s">
        <v>59</v>
      </c>
    </row>
    <row r="33" spans="1:1">
      <c r="A33" s="24" t="s">
        <v>60</v>
      </c>
    </row>
    <row r="34" spans="1:1">
      <c r="A34" s="24" t="s">
        <v>61</v>
      </c>
    </row>
    <row r="35" spans="1:1">
      <c r="A35" s="24" t="s">
        <v>62</v>
      </c>
    </row>
    <row r="36" spans="1:1">
      <c r="A36" s="24" t="s">
        <v>63</v>
      </c>
    </row>
    <row r="37" spans="1:1">
      <c r="A37" s="24" t="s">
        <v>64</v>
      </c>
    </row>
    <row r="38" spans="1:1">
      <c r="A38" s="24" t="s">
        <v>65</v>
      </c>
    </row>
    <row r="39" spans="1:1">
      <c r="A39" s="24" t="s">
        <v>66</v>
      </c>
    </row>
    <row r="40" spans="1:1">
      <c r="A40" s="24" t="s">
        <v>67</v>
      </c>
    </row>
    <row r="41" spans="1:1">
      <c r="A41" s="24" t="s">
        <v>68</v>
      </c>
    </row>
    <row r="42" spans="1:1">
      <c r="A42" s="24" t="s">
        <v>69</v>
      </c>
    </row>
    <row r="43" spans="1:1">
      <c r="A43" s="24" t="s">
        <v>70</v>
      </c>
    </row>
    <row r="44" spans="1:1">
      <c r="A44" s="24" t="s">
        <v>262</v>
      </c>
    </row>
    <row r="45" spans="1:1">
      <c r="A45" s="24" t="s">
        <v>71</v>
      </c>
    </row>
    <row r="46" spans="1:1">
      <c r="A46" s="24" t="s">
        <v>72</v>
      </c>
    </row>
    <row r="47" spans="1:1">
      <c r="A47" s="24" t="s">
        <v>73</v>
      </c>
    </row>
    <row r="48" spans="1:1">
      <c r="A48" s="24" t="s">
        <v>74</v>
      </c>
    </row>
    <row r="49" spans="1:1">
      <c r="A49" s="24" t="s">
        <v>75</v>
      </c>
    </row>
    <row r="50" spans="1:1">
      <c r="A50" s="24" t="s">
        <v>76</v>
      </c>
    </row>
    <row r="51" spans="1:1">
      <c r="A51" s="24" t="s">
        <v>77</v>
      </c>
    </row>
    <row r="52" spans="1:1">
      <c r="A52" s="24" t="s">
        <v>78</v>
      </c>
    </row>
    <row r="53" spans="1:1">
      <c r="A53" s="24" t="s">
        <v>79</v>
      </c>
    </row>
    <row r="54" spans="1:1">
      <c r="A54" s="24" t="s">
        <v>80</v>
      </c>
    </row>
    <row r="55" spans="1:1">
      <c r="A55" s="24" t="s">
        <v>81</v>
      </c>
    </row>
    <row r="56" spans="1:1">
      <c r="A56" s="24" t="s">
        <v>82</v>
      </c>
    </row>
    <row r="57" spans="1:1">
      <c r="A57" s="24" t="s">
        <v>83</v>
      </c>
    </row>
    <row r="58" spans="1:1">
      <c r="A58" s="24" t="s">
        <v>84</v>
      </c>
    </row>
    <row r="59" spans="1:1">
      <c r="A59" s="24" t="s">
        <v>85</v>
      </c>
    </row>
    <row r="60" spans="1:1">
      <c r="A60" s="24" t="s">
        <v>86</v>
      </c>
    </row>
    <row r="61" spans="1:1">
      <c r="A61" s="24" t="s">
        <v>87</v>
      </c>
    </row>
    <row r="62" spans="1:1">
      <c r="A62" s="24" t="s">
        <v>88</v>
      </c>
    </row>
    <row r="63" spans="1:1">
      <c r="A63" s="24" t="s">
        <v>89</v>
      </c>
    </row>
    <row r="64" spans="1:1">
      <c r="A64" s="24" t="s">
        <v>90</v>
      </c>
    </row>
    <row r="65" spans="1:1">
      <c r="A65" s="24" t="s">
        <v>91</v>
      </c>
    </row>
    <row r="66" spans="1:1">
      <c r="A66" s="24" t="s">
        <v>92</v>
      </c>
    </row>
    <row r="67" spans="1:1">
      <c r="A67" s="24" t="s">
        <v>268</v>
      </c>
    </row>
    <row r="68" spans="1:1">
      <c r="A68" s="24" t="s">
        <v>93</v>
      </c>
    </row>
    <row r="69" spans="1:1">
      <c r="A69" s="24" t="s">
        <v>94</v>
      </c>
    </row>
    <row r="70" spans="1:1">
      <c r="A70" s="24" t="s">
        <v>95</v>
      </c>
    </row>
    <row r="71" spans="1:1">
      <c r="A71" s="24" t="s">
        <v>96</v>
      </c>
    </row>
    <row r="72" spans="1:1">
      <c r="A72" s="24" t="s">
        <v>97</v>
      </c>
    </row>
    <row r="73" spans="1:1">
      <c r="A73" s="24" t="s">
        <v>98</v>
      </c>
    </row>
    <row r="74" spans="1:1">
      <c r="A74" s="24" t="s">
        <v>99</v>
      </c>
    </row>
    <row r="75" spans="1:1">
      <c r="A75" s="24" t="s">
        <v>100</v>
      </c>
    </row>
    <row r="76" spans="1:1">
      <c r="A76" s="24" t="s">
        <v>269</v>
      </c>
    </row>
    <row r="77" spans="1:1">
      <c r="A77" s="24" t="s">
        <v>101</v>
      </c>
    </row>
    <row r="78" spans="1:1">
      <c r="A78" s="24" t="s">
        <v>376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B8926-D9A0-4211-A59D-02D5E2ED3FCF}">
  <sheetPr codeName="Sheet21">
    <tabColor theme="6" tint="0.79998168889431442"/>
  </sheetPr>
  <dimension ref="B5:N232"/>
  <sheetViews>
    <sheetView workbookViewId="0">
      <selection activeCell="D5" sqref="D5:L114"/>
    </sheetView>
  </sheetViews>
  <sheetFormatPr defaultRowHeight="15"/>
  <cols>
    <col min="2" max="2" width="11.5703125" bestFit="1" customWidth="1"/>
    <col min="3" max="3" width="9" bestFit="1" customWidth="1"/>
    <col min="4" max="4" width="14.5703125" bestFit="1" customWidth="1"/>
    <col min="5" max="5" width="51.5703125" bestFit="1" customWidth="1"/>
    <col min="6" max="6" width="14" bestFit="1" customWidth="1"/>
    <col min="7" max="7" width="14.5703125" bestFit="1" customWidth="1"/>
    <col min="8" max="8" width="13.85546875" bestFit="1" customWidth="1"/>
    <col min="9" max="9" width="14.28515625" bestFit="1" customWidth="1"/>
    <col min="10" max="10" width="14.85546875" bestFit="1" customWidth="1"/>
    <col min="11" max="11" width="14.7109375" bestFit="1" customWidth="1"/>
    <col min="12" max="12" width="81.140625" bestFit="1" customWidth="1"/>
    <col min="13" max="13" width="14.7109375" bestFit="1" customWidth="1"/>
    <col min="14" max="14" width="13.28515625" bestFit="1" customWidth="1"/>
  </cols>
  <sheetData>
    <row r="5" spans="2:14">
      <c r="B5" t="s">
        <v>237</v>
      </c>
      <c r="C5" t="s">
        <v>364</v>
      </c>
      <c r="D5" t="s">
        <v>238</v>
      </c>
      <c r="E5" t="s">
        <v>239</v>
      </c>
      <c r="F5" t="s">
        <v>240</v>
      </c>
      <c r="G5" t="s">
        <v>241</v>
      </c>
      <c r="H5" t="s">
        <v>242</v>
      </c>
      <c r="I5" t="s">
        <v>243</v>
      </c>
      <c r="J5" t="s">
        <v>244</v>
      </c>
      <c r="K5" t="s">
        <v>245</v>
      </c>
      <c r="L5" t="s">
        <v>246</v>
      </c>
      <c r="M5" t="s">
        <v>247</v>
      </c>
      <c r="N5" t="s">
        <v>248</v>
      </c>
    </row>
    <row r="6" spans="2:14">
      <c r="B6">
        <v>90222</v>
      </c>
      <c r="D6">
        <v>7014</v>
      </c>
      <c r="E6" t="s">
        <v>31</v>
      </c>
      <c r="F6" t="s">
        <v>13</v>
      </c>
      <c r="G6" t="s">
        <v>249</v>
      </c>
      <c r="H6">
        <v>40</v>
      </c>
      <c r="J6">
        <v>200</v>
      </c>
      <c r="K6">
        <v>20</v>
      </c>
      <c r="M6">
        <v>214988.69771725</v>
      </c>
      <c r="N6">
        <v>3839.7119195978198</v>
      </c>
    </row>
    <row r="7" spans="2:14">
      <c r="B7">
        <v>94706</v>
      </c>
      <c r="D7">
        <v>8060</v>
      </c>
      <c r="E7" t="s">
        <v>73</v>
      </c>
      <c r="F7" t="s">
        <v>13</v>
      </c>
      <c r="G7" t="s">
        <v>249</v>
      </c>
      <c r="H7">
        <v>1300</v>
      </c>
      <c r="J7">
        <v>780</v>
      </c>
      <c r="K7">
        <v>80</v>
      </c>
      <c r="M7">
        <v>9199433.6071904693</v>
      </c>
      <c r="N7">
        <v>2513</v>
      </c>
    </row>
    <row r="8" spans="2:14">
      <c r="B8">
        <v>92148</v>
      </c>
      <c r="D8">
        <v>10145</v>
      </c>
      <c r="E8" t="s">
        <v>46</v>
      </c>
      <c r="F8" t="s">
        <v>13</v>
      </c>
      <c r="G8" t="s">
        <v>249</v>
      </c>
      <c r="H8">
        <v>120</v>
      </c>
      <c r="J8">
        <v>80</v>
      </c>
      <c r="K8">
        <v>20</v>
      </c>
      <c r="M8">
        <v>314085.27446591499</v>
      </c>
      <c r="N8">
        <v>3023.3411710144801</v>
      </c>
    </row>
    <row r="9" spans="2:14">
      <c r="B9">
        <v>154218</v>
      </c>
      <c r="D9">
        <v>7020</v>
      </c>
      <c r="E9" t="s">
        <v>32</v>
      </c>
      <c r="F9" t="s">
        <v>13</v>
      </c>
      <c r="G9" t="s">
        <v>249</v>
      </c>
      <c r="H9">
        <v>1000</v>
      </c>
      <c r="J9">
        <v>1100</v>
      </c>
      <c r="K9">
        <v>120</v>
      </c>
      <c r="M9">
        <v>4028390.4144806201</v>
      </c>
      <c r="N9">
        <v>2447</v>
      </c>
    </row>
    <row r="10" spans="2:14">
      <c r="B10">
        <v>137578</v>
      </c>
      <c r="D10">
        <v>790</v>
      </c>
      <c r="E10" t="s">
        <v>42</v>
      </c>
      <c r="F10" t="s">
        <v>13</v>
      </c>
      <c r="G10" t="s">
        <v>249</v>
      </c>
      <c r="H10">
        <v>300</v>
      </c>
      <c r="J10">
        <v>140</v>
      </c>
      <c r="K10">
        <v>20</v>
      </c>
      <c r="M10">
        <v>1185326.18966007</v>
      </c>
      <c r="N10">
        <v>7161.05324972771</v>
      </c>
    </row>
    <row r="11" spans="2:14">
      <c r="B11">
        <v>154220</v>
      </c>
      <c r="D11">
        <v>7460</v>
      </c>
      <c r="E11" t="s">
        <v>45</v>
      </c>
      <c r="F11" t="s">
        <v>13</v>
      </c>
      <c r="G11" t="s">
        <v>249</v>
      </c>
      <c r="H11">
        <v>900</v>
      </c>
      <c r="J11">
        <v>2000</v>
      </c>
      <c r="K11">
        <v>180</v>
      </c>
      <c r="M11">
        <v>3634190.36779554</v>
      </c>
      <c r="N11">
        <v>1468</v>
      </c>
    </row>
    <row r="12" spans="2:14">
      <c r="B12">
        <v>112939</v>
      </c>
      <c r="D12">
        <v>10049</v>
      </c>
      <c r="E12" t="s">
        <v>46</v>
      </c>
      <c r="F12" t="s">
        <v>13</v>
      </c>
      <c r="G12" t="s">
        <v>249</v>
      </c>
      <c r="H12">
        <v>400</v>
      </c>
      <c r="J12">
        <v>240</v>
      </c>
      <c r="K12">
        <v>60</v>
      </c>
      <c r="M12">
        <v>1433175.97969976</v>
      </c>
      <c r="N12">
        <v>6634.8570948488496</v>
      </c>
    </row>
    <row r="13" spans="2:14">
      <c r="B13">
        <v>112940</v>
      </c>
      <c r="D13">
        <v>10049</v>
      </c>
      <c r="E13" t="s">
        <v>46</v>
      </c>
      <c r="F13" t="s">
        <v>13</v>
      </c>
      <c r="G13" t="s">
        <v>249</v>
      </c>
      <c r="H13">
        <v>400</v>
      </c>
      <c r="J13">
        <v>240</v>
      </c>
      <c r="K13">
        <v>60</v>
      </c>
      <c r="M13">
        <v>3075323.9073264701</v>
      </c>
      <c r="N13">
        <v>1370</v>
      </c>
    </row>
    <row r="14" spans="2:14">
      <c r="B14">
        <v>92141</v>
      </c>
      <c r="D14">
        <v>7880</v>
      </c>
      <c r="E14" t="s">
        <v>69</v>
      </c>
      <c r="F14" t="s">
        <v>13</v>
      </c>
      <c r="G14" t="s">
        <v>249</v>
      </c>
      <c r="H14">
        <v>1140</v>
      </c>
      <c r="J14">
        <v>600</v>
      </c>
      <c r="K14">
        <v>40</v>
      </c>
      <c r="M14">
        <v>1110281.6057448401</v>
      </c>
      <c r="N14">
        <v>4720.1218946526096</v>
      </c>
    </row>
    <row r="15" spans="2:14">
      <c r="B15">
        <v>92140</v>
      </c>
      <c r="D15">
        <v>7880</v>
      </c>
      <c r="E15" t="s">
        <v>69</v>
      </c>
      <c r="F15" t="s">
        <v>13</v>
      </c>
      <c r="G15" t="s">
        <v>249</v>
      </c>
      <c r="H15">
        <v>1140</v>
      </c>
      <c r="J15">
        <v>600</v>
      </c>
      <c r="K15">
        <v>40</v>
      </c>
      <c r="M15">
        <v>1169957.1892607401</v>
      </c>
      <c r="N15">
        <v>6069.6440605345597</v>
      </c>
    </row>
    <row r="16" spans="2:14">
      <c r="B16">
        <v>91831</v>
      </c>
      <c r="D16">
        <v>7370</v>
      </c>
      <c r="E16" t="s">
        <v>41</v>
      </c>
      <c r="F16" t="s">
        <v>13</v>
      </c>
      <c r="G16" t="s">
        <v>249</v>
      </c>
      <c r="H16">
        <v>1668</v>
      </c>
      <c r="J16">
        <v>860</v>
      </c>
      <c r="K16">
        <v>80</v>
      </c>
      <c r="M16">
        <v>197285.04803532999</v>
      </c>
      <c r="N16">
        <v>1806.3693662693699</v>
      </c>
    </row>
    <row r="17" spans="2:14">
      <c r="B17">
        <v>91832</v>
      </c>
      <c r="D17">
        <v>7370</v>
      </c>
      <c r="E17" t="s">
        <v>41</v>
      </c>
      <c r="F17" t="s">
        <v>13</v>
      </c>
      <c r="G17" t="s">
        <v>249</v>
      </c>
      <c r="H17">
        <v>1668</v>
      </c>
      <c r="J17">
        <v>860</v>
      </c>
      <c r="K17">
        <v>80</v>
      </c>
      <c r="M17">
        <v>3321597.1918545798</v>
      </c>
      <c r="N17">
        <v>9053.3380104053595</v>
      </c>
    </row>
    <row r="18" spans="2:14">
      <c r="B18">
        <v>90538</v>
      </c>
      <c r="D18">
        <v>9240</v>
      </c>
      <c r="E18" t="s">
        <v>61</v>
      </c>
      <c r="F18" t="s">
        <v>13</v>
      </c>
      <c r="G18" t="s">
        <v>249</v>
      </c>
      <c r="H18">
        <v>5200</v>
      </c>
      <c r="J18">
        <v>2740</v>
      </c>
      <c r="K18">
        <v>320</v>
      </c>
      <c r="M18">
        <v>1170673</v>
      </c>
      <c r="N18">
        <v>1668</v>
      </c>
    </row>
    <row r="19" spans="2:14">
      <c r="B19">
        <v>90542</v>
      </c>
      <c r="D19">
        <v>9240</v>
      </c>
      <c r="E19" t="s">
        <v>61</v>
      </c>
      <c r="F19" t="s">
        <v>13</v>
      </c>
      <c r="G19" t="s">
        <v>249</v>
      </c>
      <c r="H19">
        <v>5200</v>
      </c>
      <c r="J19">
        <v>2740</v>
      </c>
      <c r="K19">
        <v>320</v>
      </c>
      <c r="M19">
        <v>8813927.0148689803</v>
      </c>
      <c r="N19">
        <v>1552</v>
      </c>
    </row>
    <row r="20" spans="2:14">
      <c r="B20">
        <v>90541</v>
      </c>
      <c r="D20">
        <v>9240</v>
      </c>
      <c r="E20" t="s">
        <v>61</v>
      </c>
      <c r="F20" t="s">
        <v>13</v>
      </c>
      <c r="G20" t="s">
        <v>249</v>
      </c>
      <c r="H20">
        <v>5200</v>
      </c>
      <c r="J20">
        <v>2740</v>
      </c>
      <c r="K20">
        <v>320</v>
      </c>
      <c r="M20">
        <v>2210165</v>
      </c>
      <c r="N20">
        <v>2242</v>
      </c>
    </row>
    <row r="21" spans="2:14">
      <c r="B21">
        <v>90543</v>
      </c>
      <c r="D21">
        <v>9240</v>
      </c>
      <c r="E21" t="s">
        <v>61</v>
      </c>
      <c r="F21" t="s">
        <v>13</v>
      </c>
      <c r="G21" t="s">
        <v>249</v>
      </c>
      <c r="H21">
        <v>5200</v>
      </c>
      <c r="J21">
        <v>2740</v>
      </c>
      <c r="K21">
        <v>320</v>
      </c>
      <c r="M21">
        <v>3429013.1884335298</v>
      </c>
      <c r="N21">
        <v>9589.9849845900899</v>
      </c>
    </row>
    <row r="22" spans="2:14">
      <c r="B22">
        <v>90539</v>
      </c>
      <c r="D22">
        <v>9240</v>
      </c>
      <c r="E22" t="s">
        <v>61</v>
      </c>
      <c r="F22" t="s">
        <v>13</v>
      </c>
      <c r="G22" t="s">
        <v>249</v>
      </c>
      <c r="H22">
        <v>5200</v>
      </c>
      <c r="J22">
        <v>2740</v>
      </c>
      <c r="K22">
        <v>320</v>
      </c>
      <c r="M22">
        <v>1937039</v>
      </c>
      <c r="N22">
        <v>1985</v>
      </c>
    </row>
    <row r="23" spans="2:14">
      <c r="B23">
        <v>95684</v>
      </c>
      <c r="D23">
        <v>8670</v>
      </c>
      <c r="E23" t="s">
        <v>95</v>
      </c>
      <c r="F23" t="s">
        <v>13</v>
      </c>
      <c r="G23" t="s">
        <v>249</v>
      </c>
      <c r="H23">
        <v>1000</v>
      </c>
      <c r="J23">
        <v>680</v>
      </c>
      <c r="K23">
        <v>60</v>
      </c>
      <c r="M23">
        <v>1282222.5510488499</v>
      </c>
      <c r="N23">
        <v>5971.9211587729897</v>
      </c>
    </row>
    <row r="24" spans="2:14">
      <c r="B24">
        <v>95676</v>
      </c>
      <c r="D24">
        <v>8670</v>
      </c>
      <c r="E24" t="s">
        <v>95</v>
      </c>
      <c r="F24" t="s">
        <v>13</v>
      </c>
      <c r="G24" t="s">
        <v>249</v>
      </c>
      <c r="H24">
        <v>1000</v>
      </c>
      <c r="J24">
        <v>680</v>
      </c>
      <c r="K24">
        <v>60</v>
      </c>
      <c r="M24">
        <v>121792.576455445</v>
      </c>
      <c r="N24">
        <v>2201.2383549411702</v>
      </c>
    </row>
    <row r="25" spans="2:14">
      <c r="B25">
        <v>95677</v>
      </c>
      <c r="D25">
        <v>8670</v>
      </c>
      <c r="E25" t="s">
        <v>95</v>
      </c>
      <c r="F25" t="s">
        <v>13</v>
      </c>
      <c r="G25" t="s">
        <v>249</v>
      </c>
      <c r="H25">
        <v>1000</v>
      </c>
      <c r="J25">
        <v>680</v>
      </c>
      <c r="K25">
        <v>60</v>
      </c>
      <c r="M25">
        <v>1109767.6302386399</v>
      </c>
      <c r="N25">
        <v>5949.3493433071699</v>
      </c>
    </row>
    <row r="26" spans="2:14">
      <c r="B26">
        <v>95678</v>
      </c>
      <c r="D26">
        <v>8670</v>
      </c>
      <c r="E26" t="s">
        <v>95</v>
      </c>
      <c r="F26" t="s">
        <v>13</v>
      </c>
      <c r="G26" t="s">
        <v>249</v>
      </c>
      <c r="H26">
        <v>1000</v>
      </c>
      <c r="J26">
        <v>680</v>
      </c>
      <c r="K26">
        <v>60</v>
      </c>
      <c r="M26">
        <v>114968.77810157499</v>
      </c>
      <c r="N26">
        <v>2181.8178089888902</v>
      </c>
    </row>
    <row r="27" spans="2:14">
      <c r="B27">
        <v>154874</v>
      </c>
      <c r="D27">
        <v>7852</v>
      </c>
      <c r="E27" t="s">
        <v>68</v>
      </c>
      <c r="F27" t="s">
        <v>13</v>
      </c>
      <c r="G27" t="s">
        <v>249</v>
      </c>
      <c r="H27">
        <v>895</v>
      </c>
      <c r="J27">
        <v>1000</v>
      </c>
      <c r="K27">
        <v>120</v>
      </c>
      <c r="M27">
        <v>3618973.5143114198</v>
      </c>
      <c r="N27">
        <v>2535</v>
      </c>
    </row>
    <row r="28" spans="2:14">
      <c r="B28">
        <v>137898</v>
      </c>
      <c r="D28">
        <v>2623</v>
      </c>
      <c r="E28" t="s">
        <v>97</v>
      </c>
      <c r="F28" t="s">
        <v>13</v>
      </c>
      <c r="G28" t="s">
        <v>249</v>
      </c>
      <c r="H28">
        <v>750</v>
      </c>
      <c r="J28">
        <v>300</v>
      </c>
      <c r="K28">
        <v>60</v>
      </c>
      <c r="M28">
        <v>3099335.39903065</v>
      </c>
      <c r="N28">
        <v>9128.35004386742</v>
      </c>
    </row>
    <row r="29" spans="2:14">
      <c r="B29">
        <v>95673</v>
      </c>
      <c r="D29">
        <v>7630</v>
      </c>
      <c r="E29" t="s">
        <v>56</v>
      </c>
      <c r="F29" t="s">
        <v>13</v>
      </c>
      <c r="G29" t="s">
        <v>249</v>
      </c>
      <c r="H29">
        <v>1000</v>
      </c>
      <c r="J29">
        <v>640</v>
      </c>
      <c r="K29">
        <v>60</v>
      </c>
      <c r="M29">
        <v>734939.03025028505</v>
      </c>
      <c r="N29">
        <v>5953.1514936765298</v>
      </c>
    </row>
    <row r="30" spans="2:14">
      <c r="B30">
        <v>95672</v>
      </c>
      <c r="D30">
        <v>7630</v>
      </c>
      <c r="E30" t="s">
        <v>56</v>
      </c>
      <c r="F30" t="s">
        <v>13</v>
      </c>
      <c r="G30" t="s">
        <v>249</v>
      </c>
      <c r="H30">
        <v>1000</v>
      </c>
      <c r="J30">
        <v>640</v>
      </c>
      <c r="K30">
        <v>60</v>
      </c>
      <c r="M30">
        <v>343981.70181067998</v>
      </c>
      <c r="N30">
        <v>2717.63313824225</v>
      </c>
    </row>
    <row r="31" spans="2:14">
      <c r="B31">
        <v>94708</v>
      </c>
      <c r="D31">
        <v>7510</v>
      </c>
      <c r="E31" t="s">
        <v>48</v>
      </c>
      <c r="F31" t="s">
        <v>13</v>
      </c>
      <c r="G31" t="s">
        <v>249</v>
      </c>
      <c r="H31">
        <v>1600</v>
      </c>
      <c r="J31">
        <v>740</v>
      </c>
      <c r="K31">
        <v>100</v>
      </c>
      <c r="M31">
        <v>7477018.8759854604</v>
      </c>
      <c r="N31">
        <v>2659</v>
      </c>
    </row>
    <row r="32" spans="2:14">
      <c r="B32">
        <v>94713</v>
      </c>
      <c r="D32">
        <v>8220</v>
      </c>
      <c r="E32" t="s">
        <v>82</v>
      </c>
      <c r="F32" t="s">
        <v>13</v>
      </c>
      <c r="G32" t="s">
        <v>249</v>
      </c>
      <c r="H32">
        <v>2000</v>
      </c>
      <c r="J32">
        <v>1600</v>
      </c>
      <c r="K32">
        <v>140</v>
      </c>
      <c r="M32">
        <v>2104977</v>
      </c>
      <c r="N32">
        <v>3708</v>
      </c>
    </row>
    <row r="33" spans="2:14">
      <c r="B33">
        <v>116458</v>
      </c>
      <c r="D33">
        <v>10107</v>
      </c>
      <c r="E33" t="s">
        <v>46</v>
      </c>
      <c r="F33" t="s">
        <v>13</v>
      </c>
      <c r="G33" t="s">
        <v>249</v>
      </c>
      <c r="H33">
        <v>200</v>
      </c>
      <c r="J33">
        <v>120</v>
      </c>
      <c r="K33">
        <v>20</v>
      </c>
      <c r="M33">
        <v>252573.85852069</v>
      </c>
      <c r="N33">
        <v>2198.2822253550898</v>
      </c>
    </row>
    <row r="34" spans="2:14">
      <c r="B34">
        <v>116459</v>
      </c>
      <c r="D34">
        <v>10107</v>
      </c>
      <c r="E34" t="s">
        <v>46</v>
      </c>
      <c r="F34" t="s">
        <v>13</v>
      </c>
      <c r="G34" t="s">
        <v>249</v>
      </c>
      <c r="H34">
        <v>200</v>
      </c>
      <c r="J34">
        <v>120</v>
      </c>
      <c r="K34">
        <v>20</v>
      </c>
      <c r="M34">
        <v>372124.77468935499</v>
      </c>
      <c r="N34">
        <v>3080.5070834182302</v>
      </c>
    </row>
    <row r="35" spans="2:14">
      <c r="B35">
        <v>116460</v>
      </c>
      <c r="D35">
        <v>10107</v>
      </c>
      <c r="E35" t="s">
        <v>46</v>
      </c>
      <c r="F35" t="s">
        <v>13</v>
      </c>
      <c r="G35" t="s">
        <v>249</v>
      </c>
      <c r="H35">
        <v>200</v>
      </c>
      <c r="J35">
        <v>120</v>
      </c>
      <c r="K35">
        <v>20</v>
      </c>
      <c r="M35">
        <v>1745960.28197449</v>
      </c>
      <c r="N35">
        <v>6698.2563512527804</v>
      </c>
    </row>
    <row r="36" spans="2:14">
      <c r="B36">
        <v>129584</v>
      </c>
      <c r="D36">
        <v>8550</v>
      </c>
      <c r="E36" t="s">
        <v>88</v>
      </c>
      <c r="F36" t="s">
        <v>13</v>
      </c>
      <c r="G36" t="s">
        <v>249</v>
      </c>
      <c r="H36">
        <v>350</v>
      </c>
      <c r="J36">
        <v>240</v>
      </c>
      <c r="K36">
        <v>20</v>
      </c>
      <c r="M36">
        <v>3707525.5003033802</v>
      </c>
      <c r="N36">
        <v>1332</v>
      </c>
    </row>
    <row r="37" spans="2:14">
      <c r="B37">
        <v>91824</v>
      </c>
      <c r="D37">
        <v>11423</v>
      </c>
      <c r="E37" t="s">
        <v>268</v>
      </c>
      <c r="F37" t="s">
        <v>13</v>
      </c>
      <c r="G37" t="s">
        <v>249</v>
      </c>
      <c r="H37">
        <v>450</v>
      </c>
      <c r="J37">
        <v>220</v>
      </c>
      <c r="K37">
        <v>80</v>
      </c>
      <c r="M37">
        <v>2880926.8161120098</v>
      </c>
      <c r="N37">
        <v>8424.2092810044505</v>
      </c>
    </row>
    <row r="38" spans="2:14">
      <c r="B38">
        <v>115818</v>
      </c>
      <c r="D38">
        <v>7990</v>
      </c>
      <c r="E38" t="s">
        <v>72</v>
      </c>
      <c r="F38" t="s">
        <v>13</v>
      </c>
      <c r="G38" t="s">
        <v>249</v>
      </c>
      <c r="H38">
        <v>475</v>
      </c>
      <c r="J38">
        <v>180</v>
      </c>
      <c r="K38">
        <v>60</v>
      </c>
      <c r="M38">
        <v>1627907</v>
      </c>
      <c r="N38">
        <v>3826</v>
      </c>
    </row>
    <row r="39" spans="2:14">
      <c r="B39">
        <v>155834</v>
      </c>
      <c r="D39">
        <v>7570</v>
      </c>
      <c r="E39" t="s">
        <v>54</v>
      </c>
      <c r="F39" t="s">
        <v>13</v>
      </c>
      <c r="G39" t="s">
        <v>249</v>
      </c>
      <c r="H39">
        <v>140</v>
      </c>
      <c r="K39">
        <v>100</v>
      </c>
      <c r="M39">
        <v>1470539.42573612</v>
      </c>
      <c r="N39">
        <v>6452.7485335332804</v>
      </c>
    </row>
    <row r="40" spans="2:14">
      <c r="B40">
        <v>153902</v>
      </c>
      <c r="D40">
        <v>7650</v>
      </c>
      <c r="E40" t="s">
        <v>58</v>
      </c>
      <c r="F40" t="s">
        <v>13</v>
      </c>
      <c r="G40" t="s">
        <v>249</v>
      </c>
      <c r="H40">
        <v>1000</v>
      </c>
      <c r="J40">
        <v>1300</v>
      </c>
      <c r="K40">
        <v>120</v>
      </c>
      <c r="M40">
        <v>528475.86058801506</v>
      </c>
      <c r="N40">
        <v>3207.1487779509098</v>
      </c>
    </row>
    <row r="41" spans="2:14">
      <c r="B41">
        <v>153899</v>
      </c>
      <c r="D41">
        <v>7650</v>
      </c>
      <c r="E41" t="s">
        <v>58</v>
      </c>
      <c r="F41" t="s">
        <v>13</v>
      </c>
      <c r="G41" t="s">
        <v>249</v>
      </c>
      <c r="H41">
        <v>1000</v>
      </c>
      <c r="J41">
        <v>1300</v>
      </c>
      <c r="K41">
        <v>120</v>
      </c>
      <c r="M41">
        <v>922782.57697488496</v>
      </c>
      <c r="N41">
        <v>4028.8435733313499</v>
      </c>
    </row>
    <row r="42" spans="2:14">
      <c r="B42">
        <v>91189</v>
      </c>
      <c r="D42">
        <v>10310</v>
      </c>
      <c r="E42" t="s">
        <v>70</v>
      </c>
      <c r="F42" t="s">
        <v>13</v>
      </c>
      <c r="G42" t="s">
        <v>249</v>
      </c>
      <c r="H42">
        <v>1600</v>
      </c>
      <c r="J42">
        <v>880</v>
      </c>
      <c r="K42">
        <v>80</v>
      </c>
      <c r="M42">
        <v>1612009.39051174</v>
      </c>
      <c r="N42">
        <v>6485.7824660243296</v>
      </c>
    </row>
    <row r="43" spans="2:14">
      <c r="B43">
        <v>90229</v>
      </c>
      <c r="D43">
        <v>7170</v>
      </c>
      <c r="E43" t="s">
        <v>36</v>
      </c>
      <c r="F43" t="s">
        <v>13</v>
      </c>
      <c r="G43" t="s">
        <v>249</v>
      </c>
      <c r="H43">
        <v>1450</v>
      </c>
      <c r="J43">
        <v>420</v>
      </c>
      <c r="K43">
        <v>80</v>
      </c>
      <c r="M43">
        <v>5019913.4543942604</v>
      </c>
      <c r="N43">
        <v>1694</v>
      </c>
    </row>
    <row r="44" spans="2:14">
      <c r="B44">
        <v>90230</v>
      </c>
      <c r="D44">
        <v>8920</v>
      </c>
      <c r="E44" t="s">
        <v>101</v>
      </c>
      <c r="F44" t="s">
        <v>13</v>
      </c>
      <c r="G44" t="s">
        <v>249</v>
      </c>
      <c r="H44">
        <v>2000</v>
      </c>
      <c r="J44">
        <v>1600</v>
      </c>
      <c r="K44">
        <v>140</v>
      </c>
      <c r="M44">
        <v>974762.31760765996</v>
      </c>
      <c r="N44">
        <v>3966.6969571794102</v>
      </c>
    </row>
    <row r="45" spans="2:14">
      <c r="B45">
        <v>90231</v>
      </c>
      <c r="D45">
        <v>8920</v>
      </c>
      <c r="E45" t="s">
        <v>101</v>
      </c>
      <c r="F45" t="s">
        <v>13</v>
      </c>
      <c r="G45" t="s">
        <v>249</v>
      </c>
      <c r="H45">
        <v>2000</v>
      </c>
      <c r="J45">
        <v>1600</v>
      </c>
      <c r="K45">
        <v>140</v>
      </c>
      <c r="M45">
        <v>1397422</v>
      </c>
      <c r="N45">
        <v>2927</v>
      </c>
    </row>
    <row r="46" spans="2:14">
      <c r="B46">
        <v>90232</v>
      </c>
      <c r="D46">
        <v>8560</v>
      </c>
      <c r="E46" t="s">
        <v>89</v>
      </c>
      <c r="F46" t="s">
        <v>13</v>
      </c>
      <c r="G46" t="s">
        <v>249</v>
      </c>
      <c r="H46">
        <v>700</v>
      </c>
      <c r="J46">
        <v>720</v>
      </c>
      <c r="K46">
        <v>80</v>
      </c>
      <c r="M46">
        <v>48803.375306069996</v>
      </c>
      <c r="N46">
        <v>954.96936097202797</v>
      </c>
    </row>
    <row r="47" spans="2:14">
      <c r="B47">
        <v>144623</v>
      </c>
      <c r="D47">
        <v>7694</v>
      </c>
      <c r="E47" t="s">
        <v>96</v>
      </c>
      <c r="F47" t="s">
        <v>13</v>
      </c>
      <c r="G47" t="s">
        <v>249</v>
      </c>
      <c r="H47">
        <v>1500</v>
      </c>
      <c r="J47">
        <v>1180</v>
      </c>
      <c r="M47">
        <v>164186.81402535501</v>
      </c>
      <c r="N47">
        <v>1868.17989313566</v>
      </c>
    </row>
    <row r="48" spans="2:14">
      <c r="B48">
        <v>144621</v>
      </c>
      <c r="D48">
        <v>7694</v>
      </c>
      <c r="E48" t="s">
        <v>96</v>
      </c>
      <c r="F48" t="s">
        <v>13</v>
      </c>
      <c r="G48" t="s">
        <v>249</v>
      </c>
      <c r="H48">
        <v>1500</v>
      </c>
      <c r="J48">
        <v>1180</v>
      </c>
      <c r="M48">
        <v>159721.05688505</v>
      </c>
      <c r="N48">
        <v>1762.9592927685101</v>
      </c>
    </row>
    <row r="49" spans="2:14">
      <c r="B49">
        <v>144629</v>
      </c>
      <c r="D49">
        <v>7694</v>
      </c>
      <c r="E49" t="s">
        <v>96</v>
      </c>
      <c r="F49" t="s">
        <v>13</v>
      </c>
      <c r="G49" t="s">
        <v>249</v>
      </c>
      <c r="H49">
        <v>1500</v>
      </c>
      <c r="J49">
        <v>1180</v>
      </c>
      <c r="M49">
        <v>236082.90814273499</v>
      </c>
      <c r="N49">
        <v>2032.8093201715999</v>
      </c>
    </row>
    <row r="50" spans="2:14">
      <c r="B50">
        <v>144630</v>
      </c>
      <c r="D50">
        <v>7694</v>
      </c>
      <c r="E50" t="s">
        <v>96</v>
      </c>
      <c r="F50" t="s">
        <v>13</v>
      </c>
      <c r="G50" t="s">
        <v>249</v>
      </c>
      <c r="H50">
        <v>1500</v>
      </c>
      <c r="J50">
        <v>1180</v>
      </c>
      <c r="M50">
        <v>222125.718178735</v>
      </c>
      <c r="N50">
        <v>2184.8760848983002</v>
      </c>
    </row>
    <row r="51" spans="2:14">
      <c r="B51">
        <v>144622</v>
      </c>
      <c r="D51">
        <v>7694</v>
      </c>
      <c r="E51" t="s">
        <v>96</v>
      </c>
      <c r="F51" t="s">
        <v>13</v>
      </c>
      <c r="G51" t="s">
        <v>249</v>
      </c>
      <c r="H51">
        <v>1500</v>
      </c>
      <c r="J51">
        <v>1180</v>
      </c>
      <c r="M51">
        <v>79644.25754536</v>
      </c>
      <c r="N51">
        <v>1165.62687577819</v>
      </c>
    </row>
    <row r="52" spans="2:14">
      <c r="B52">
        <v>144620</v>
      </c>
      <c r="D52">
        <v>7694</v>
      </c>
      <c r="E52" t="s">
        <v>96</v>
      </c>
      <c r="F52" t="s">
        <v>13</v>
      </c>
      <c r="G52" t="s">
        <v>249</v>
      </c>
      <c r="H52">
        <v>1500</v>
      </c>
      <c r="J52">
        <v>1180</v>
      </c>
      <c r="M52">
        <v>473228.52595530503</v>
      </c>
      <c r="N52">
        <v>3927.9773290384501</v>
      </c>
    </row>
    <row r="53" spans="2:14">
      <c r="B53">
        <v>144628</v>
      </c>
      <c r="D53">
        <v>7694</v>
      </c>
      <c r="E53" t="s">
        <v>96</v>
      </c>
      <c r="F53" t="s">
        <v>13</v>
      </c>
      <c r="G53" t="s">
        <v>249</v>
      </c>
      <c r="H53">
        <v>1500</v>
      </c>
      <c r="J53">
        <v>1180</v>
      </c>
      <c r="M53">
        <v>811497.58854270005</v>
      </c>
      <c r="N53">
        <v>5418.0523422333999</v>
      </c>
    </row>
    <row r="54" spans="2:14">
      <c r="B54">
        <v>144625</v>
      </c>
      <c r="D54">
        <v>7694</v>
      </c>
      <c r="E54" t="s">
        <v>96</v>
      </c>
      <c r="F54" t="s">
        <v>13</v>
      </c>
      <c r="G54" t="s">
        <v>249</v>
      </c>
      <c r="H54">
        <v>1500</v>
      </c>
      <c r="J54">
        <v>1180</v>
      </c>
      <c r="M54">
        <v>1205865.7362492499</v>
      </c>
      <c r="N54">
        <v>5487.4265083963501</v>
      </c>
    </row>
    <row r="55" spans="2:14">
      <c r="B55">
        <v>144626</v>
      </c>
      <c r="D55">
        <v>7694</v>
      </c>
      <c r="E55" t="s">
        <v>96</v>
      </c>
      <c r="F55" t="s">
        <v>13</v>
      </c>
      <c r="G55" t="s">
        <v>249</v>
      </c>
      <c r="H55">
        <v>1500</v>
      </c>
      <c r="J55">
        <v>1180</v>
      </c>
      <c r="M55">
        <v>454552.99105270498</v>
      </c>
      <c r="N55">
        <v>3369.0412039784801</v>
      </c>
    </row>
    <row r="56" spans="2:14">
      <c r="B56">
        <v>144627</v>
      </c>
      <c r="D56">
        <v>7694</v>
      </c>
      <c r="E56" t="s">
        <v>96</v>
      </c>
      <c r="F56" t="s">
        <v>13</v>
      </c>
      <c r="G56" t="s">
        <v>249</v>
      </c>
      <c r="H56">
        <v>1500</v>
      </c>
      <c r="J56">
        <v>1180</v>
      </c>
      <c r="M56">
        <v>309320.55162818002</v>
      </c>
      <c r="N56">
        <v>2374.3359659125099</v>
      </c>
    </row>
    <row r="57" spans="2:14">
      <c r="B57">
        <v>144624</v>
      </c>
      <c r="D57">
        <v>7694</v>
      </c>
      <c r="E57" t="s">
        <v>96</v>
      </c>
      <c r="F57" t="s">
        <v>13</v>
      </c>
      <c r="G57" t="s">
        <v>249</v>
      </c>
      <c r="H57">
        <v>1500</v>
      </c>
      <c r="J57">
        <v>1180</v>
      </c>
      <c r="M57">
        <v>302577.922990555</v>
      </c>
      <c r="N57">
        <v>2389.2352537481001</v>
      </c>
    </row>
    <row r="58" spans="2:14">
      <c r="B58">
        <v>95023</v>
      </c>
      <c r="D58">
        <v>7694</v>
      </c>
      <c r="E58" t="s">
        <v>96</v>
      </c>
      <c r="F58" t="s">
        <v>13</v>
      </c>
      <c r="G58" t="s">
        <v>249</v>
      </c>
      <c r="H58">
        <v>1500</v>
      </c>
      <c r="J58">
        <v>1180</v>
      </c>
      <c r="M58">
        <v>1153800.9531077901</v>
      </c>
      <c r="N58">
        <v>8181.15831800264</v>
      </c>
    </row>
    <row r="59" spans="2:14">
      <c r="B59">
        <v>95024</v>
      </c>
      <c r="D59">
        <v>7694</v>
      </c>
      <c r="E59" t="s">
        <v>96</v>
      </c>
      <c r="F59" t="s">
        <v>13</v>
      </c>
      <c r="G59" t="s">
        <v>249</v>
      </c>
      <c r="H59">
        <v>1500</v>
      </c>
      <c r="J59">
        <v>1180</v>
      </c>
      <c r="M59">
        <v>1198779.91470708</v>
      </c>
      <c r="N59">
        <v>5482.1625229492802</v>
      </c>
    </row>
    <row r="60" spans="2:14">
      <c r="B60">
        <v>95025</v>
      </c>
      <c r="D60">
        <v>7694</v>
      </c>
      <c r="E60" t="s">
        <v>96</v>
      </c>
      <c r="F60" t="s">
        <v>13</v>
      </c>
      <c r="G60" t="s">
        <v>249</v>
      </c>
      <c r="H60">
        <v>1500</v>
      </c>
      <c r="J60">
        <v>1180</v>
      </c>
      <c r="M60">
        <v>221728.25396997001</v>
      </c>
      <c r="N60">
        <v>2176.3393345238501</v>
      </c>
    </row>
    <row r="61" spans="2:14">
      <c r="B61">
        <v>92139</v>
      </c>
      <c r="D61">
        <v>7640</v>
      </c>
      <c r="E61" t="s">
        <v>57</v>
      </c>
      <c r="F61" t="s">
        <v>13</v>
      </c>
      <c r="G61" t="s">
        <v>249</v>
      </c>
      <c r="H61">
        <v>600</v>
      </c>
      <c r="J61">
        <v>380</v>
      </c>
      <c r="M61">
        <v>2048353.84140832</v>
      </c>
      <c r="N61">
        <v>6695.5782687352303</v>
      </c>
    </row>
    <row r="62" spans="2:14">
      <c r="B62">
        <v>136622</v>
      </c>
      <c r="D62">
        <v>7640</v>
      </c>
      <c r="E62" t="s">
        <v>57</v>
      </c>
      <c r="F62" t="s">
        <v>13</v>
      </c>
      <c r="G62" t="s">
        <v>249</v>
      </c>
      <c r="H62">
        <v>600</v>
      </c>
      <c r="J62">
        <v>380</v>
      </c>
      <c r="M62">
        <v>510461.00753877999</v>
      </c>
      <c r="N62">
        <v>3367.8357271180598</v>
      </c>
    </row>
    <row r="63" spans="2:14">
      <c r="B63">
        <v>90233</v>
      </c>
      <c r="D63">
        <v>8150</v>
      </c>
      <c r="E63" t="s">
        <v>78</v>
      </c>
      <c r="F63" t="s">
        <v>13</v>
      </c>
      <c r="G63" t="s">
        <v>249</v>
      </c>
      <c r="H63">
        <v>210</v>
      </c>
      <c r="J63">
        <v>300</v>
      </c>
      <c r="K63">
        <v>70</v>
      </c>
      <c r="M63">
        <v>2399712.9208434299</v>
      </c>
      <c r="N63">
        <v>9392.0897707162294</v>
      </c>
    </row>
    <row r="64" spans="2:14">
      <c r="B64">
        <v>129587</v>
      </c>
      <c r="D64">
        <v>8070</v>
      </c>
      <c r="E64" t="s">
        <v>74</v>
      </c>
      <c r="F64" t="s">
        <v>13</v>
      </c>
      <c r="G64" t="s">
        <v>249</v>
      </c>
      <c r="H64">
        <v>750</v>
      </c>
      <c r="J64">
        <v>700</v>
      </c>
      <c r="K64">
        <v>60</v>
      </c>
      <c r="M64">
        <v>980279.81520874996</v>
      </c>
      <c r="N64">
        <v>4529.3523909538699</v>
      </c>
    </row>
    <row r="65" spans="2:14">
      <c r="B65">
        <v>129589</v>
      </c>
      <c r="D65">
        <v>8070</v>
      </c>
      <c r="E65" t="s">
        <v>74</v>
      </c>
      <c r="F65" t="s">
        <v>13</v>
      </c>
      <c r="G65" t="s">
        <v>249</v>
      </c>
      <c r="H65">
        <v>750</v>
      </c>
      <c r="J65">
        <v>700</v>
      </c>
      <c r="K65">
        <v>60</v>
      </c>
      <c r="M65">
        <v>524295.27714924002</v>
      </c>
      <c r="N65">
        <v>3058.4211177103898</v>
      </c>
    </row>
    <row r="66" spans="2:14">
      <c r="B66">
        <v>129585</v>
      </c>
      <c r="D66">
        <v>8070</v>
      </c>
      <c r="E66" t="s">
        <v>74</v>
      </c>
      <c r="F66" t="s">
        <v>13</v>
      </c>
      <c r="G66" t="s">
        <v>249</v>
      </c>
      <c r="H66">
        <v>750</v>
      </c>
      <c r="J66">
        <v>700</v>
      </c>
      <c r="K66">
        <v>60</v>
      </c>
      <c r="M66">
        <v>414488.29422003502</v>
      </c>
      <c r="N66">
        <v>2575.7603293799002</v>
      </c>
    </row>
    <row r="67" spans="2:14">
      <c r="B67">
        <v>129588</v>
      </c>
      <c r="D67">
        <v>8070</v>
      </c>
      <c r="E67" t="s">
        <v>74</v>
      </c>
      <c r="F67" t="s">
        <v>13</v>
      </c>
      <c r="G67" t="s">
        <v>249</v>
      </c>
      <c r="H67">
        <v>750</v>
      </c>
      <c r="J67">
        <v>700</v>
      </c>
      <c r="K67">
        <v>60</v>
      </c>
      <c r="M67">
        <v>506017.18253007502</v>
      </c>
      <c r="N67">
        <v>3470.2441499535798</v>
      </c>
    </row>
    <row r="68" spans="2:14">
      <c r="B68">
        <v>129586</v>
      </c>
      <c r="D68">
        <v>8070</v>
      </c>
      <c r="E68" t="s">
        <v>74</v>
      </c>
      <c r="F68" t="s">
        <v>13</v>
      </c>
      <c r="G68" t="s">
        <v>249</v>
      </c>
      <c r="H68">
        <v>750</v>
      </c>
      <c r="J68">
        <v>700</v>
      </c>
      <c r="K68">
        <v>60</v>
      </c>
      <c r="M68">
        <v>704112.31304147001</v>
      </c>
      <c r="N68">
        <v>4610.5197655519696</v>
      </c>
    </row>
    <row r="69" spans="2:14">
      <c r="B69">
        <v>129590</v>
      </c>
      <c r="D69">
        <v>8070</v>
      </c>
      <c r="E69" t="s">
        <v>74</v>
      </c>
      <c r="F69" t="s">
        <v>13</v>
      </c>
      <c r="G69" t="s">
        <v>249</v>
      </c>
      <c r="H69">
        <v>750</v>
      </c>
      <c r="J69">
        <v>700</v>
      </c>
      <c r="K69">
        <v>60</v>
      </c>
      <c r="M69">
        <v>246566.786111425</v>
      </c>
      <c r="N69">
        <v>2447.6688825157498</v>
      </c>
    </row>
    <row r="70" spans="2:14">
      <c r="B70">
        <v>129591</v>
      </c>
      <c r="D70">
        <v>8070</v>
      </c>
      <c r="E70" t="s">
        <v>74</v>
      </c>
      <c r="F70" t="s">
        <v>13</v>
      </c>
      <c r="G70" t="s">
        <v>249</v>
      </c>
      <c r="H70">
        <v>750</v>
      </c>
      <c r="J70">
        <v>700</v>
      </c>
      <c r="K70">
        <v>60</v>
      </c>
      <c r="M70">
        <v>1319067.09201256</v>
      </c>
      <c r="N70">
        <v>5998.8855742503501</v>
      </c>
    </row>
    <row r="71" spans="2:14">
      <c r="B71">
        <v>154538</v>
      </c>
      <c r="D71">
        <v>7494</v>
      </c>
      <c r="E71" t="s">
        <v>47</v>
      </c>
      <c r="F71" t="s">
        <v>13</v>
      </c>
      <c r="G71" t="s">
        <v>249</v>
      </c>
      <c r="H71">
        <v>4741</v>
      </c>
      <c r="J71">
        <v>2000</v>
      </c>
      <c r="K71">
        <v>180</v>
      </c>
      <c r="M71">
        <v>1918687</v>
      </c>
      <c r="N71">
        <v>9108</v>
      </c>
    </row>
    <row r="72" spans="2:14">
      <c r="B72">
        <v>154219</v>
      </c>
      <c r="D72">
        <v>7090</v>
      </c>
      <c r="E72" t="s">
        <v>34</v>
      </c>
      <c r="F72" t="s">
        <v>13</v>
      </c>
      <c r="G72" t="s">
        <v>249</v>
      </c>
      <c r="H72">
        <v>2000</v>
      </c>
      <c r="J72">
        <v>1100</v>
      </c>
      <c r="K72">
        <v>120</v>
      </c>
      <c r="M72">
        <v>8147541.94938468</v>
      </c>
      <c r="N72">
        <v>3765</v>
      </c>
    </row>
    <row r="73" spans="2:14">
      <c r="B73">
        <v>94707</v>
      </c>
      <c r="D73">
        <v>7560</v>
      </c>
      <c r="E73" t="s">
        <v>53</v>
      </c>
      <c r="F73" t="s">
        <v>13</v>
      </c>
      <c r="G73" t="s">
        <v>249</v>
      </c>
      <c r="H73">
        <v>300</v>
      </c>
      <c r="J73">
        <v>140</v>
      </c>
      <c r="K73">
        <v>40</v>
      </c>
      <c r="M73">
        <v>2799174.6829624898</v>
      </c>
      <c r="N73">
        <v>8210.0989950712101</v>
      </c>
    </row>
    <row r="74" spans="2:14">
      <c r="B74">
        <v>153901</v>
      </c>
      <c r="D74">
        <v>7650</v>
      </c>
      <c r="E74" t="s">
        <v>58</v>
      </c>
      <c r="F74" t="s">
        <v>13</v>
      </c>
      <c r="G74" t="s">
        <v>249</v>
      </c>
      <c r="H74">
        <v>1000</v>
      </c>
      <c r="J74">
        <v>1300</v>
      </c>
      <c r="K74">
        <v>120</v>
      </c>
      <c r="M74">
        <v>945472.83999184496</v>
      </c>
      <c r="N74">
        <v>4204.23251770553</v>
      </c>
    </row>
    <row r="75" spans="2:14">
      <c r="B75">
        <v>153900</v>
      </c>
      <c r="D75">
        <v>7650</v>
      </c>
      <c r="E75" t="s">
        <v>58</v>
      </c>
      <c r="F75" t="s">
        <v>13</v>
      </c>
      <c r="G75" t="s">
        <v>249</v>
      </c>
      <c r="H75">
        <v>1000</v>
      </c>
      <c r="J75">
        <v>1300</v>
      </c>
      <c r="K75">
        <v>120</v>
      </c>
      <c r="M75">
        <v>421038.54729861999</v>
      </c>
      <c r="N75">
        <v>3027.6871809857798</v>
      </c>
    </row>
    <row r="76" spans="2:14">
      <c r="B76">
        <v>153898</v>
      </c>
      <c r="D76">
        <v>7650</v>
      </c>
      <c r="E76" t="s">
        <v>58</v>
      </c>
      <c r="F76" t="s">
        <v>13</v>
      </c>
      <c r="G76" t="s">
        <v>249</v>
      </c>
      <c r="H76">
        <v>1000</v>
      </c>
      <c r="J76">
        <v>1300</v>
      </c>
      <c r="K76">
        <v>120</v>
      </c>
      <c r="M76">
        <v>855807.77742949501</v>
      </c>
      <c r="N76">
        <v>4423.0906709380297</v>
      </c>
    </row>
    <row r="77" spans="2:14">
      <c r="B77">
        <v>94385</v>
      </c>
      <c r="D77">
        <v>7684</v>
      </c>
      <c r="E77" t="s">
        <v>60</v>
      </c>
      <c r="F77" t="s">
        <v>13</v>
      </c>
      <c r="G77" t="s">
        <v>249</v>
      </c>
      <c r="H77">
        <v>3700</v>
      </c>
      <c r="J77">
        <v>1600</v>
      </c>
      <c r="K77">
        <v>160</v>
      </c>
      <c r="M77">
        <v>368328.61969591002</v>
      </c>
      <c r="N77">
        <v>2521.1664197550999</v>
      </c>
    </row>
    <row r="78" spans="2:14">
      <c r="B78">
        <v>94378</v>
      </c>
      <c r="D78">
        <v>7684</v>
      </c>
      <c r="E78" t="s">
        <v>60</v>
      </c>
      <c r="F78" t="s">
        <v>13</v>
      </c>
      <c r="G78" t="s">
        <v>249</v>
      </c>
      <c r="H78">
        <v>3700</v>
      </c>
      <c r="J78">
        <v>1600</v>
      </c>
      <c r="K78">
        <v>160</v>
      </c>
      <c r="M78">
        <v>144679.234863705</v>
      </c>
      <c r="N78">
        <v>2002.0678522330099</v>
      </c>
    </row>
    <row r="79" spans="2:14">
      <c r="B79">
        <v>94381</v>
      </c>
      <c r="D79">
        <v>7684</v>
      </c>
      <c r="E79" t="s">
        <v>60</v>
      </c>
      <c r="F79" t="s">
        <v>13</v>
      </c>
      <c r="G79" t="s">
        <v>249</v>
      </c>
      <c r="H79">
        <v>3700</v>
      </c>
      <c r="J79">
        <v>1600</v>
      </c>
      <c r="K79">
        <v>160</v>
      </c>
      <c r="M79">
        <v>110419.530688075</v>
      </c>
      <c r="N79">
        <v>1361.51963196888</v>
      </c>
    </row>
    <row r="80" spans="2:14">
      <c r="B80">
        <v>94379</v>
      </c>
      <c r="D80">
        <v>7684</v>
      </c>
      <c r="E80" t="s">
        <v>60</v>
      </c>
      <c r="F80" t="s">
        <v>13</v>
      </c>
      <c r="G80" t="s">
        <v>249</v>
      </c>
      <c r="H80">
        <v>3700</v>
      </c>
      <c r="J80">
        <v>1600</v>
      </c>
      <c r="K80">
        <v>160</v>
      </c>
      <c r="M80">
        <v>109014.37901847</v>
      </c>
      <c r="N80">
        <v>1855.26132502718</v>
      </c>
    </row>
    <row r="81" spans="2:14">
      <c r="B81">
        <v>94384</v>
      </c>
      <c r="D81">
        <v>7684</v>
      </c>
      <c r="E81" t="s">
        <v>60</v>
      </c>
      <c r="F81" t="s">
        <v>13</v>
      </c>
      <c r="G81" t="s">
        <v>249</v>
      </c>
      <c r="H81">
        <v>3700</v>
      </c>
      <c r="J81">
        <v>1600</v>
      </c>
      <c r="K81">
        <v>160</v>
      </c>
      <c r="M81">
        <v>177505.14502778501</v>
      </c>
      <c r="N81">
        <v>2435.4377357998001</v>
      </c>
    </row>
    <row r="82" spans="2:14">
      <c r="B82">
        <v>94383</v>
      </c>
      <c r="D82">
        <v>7684</v>
      </c>
      <c r="E82" t="s">
        <v>60</v>
      </c>
      <c r="F82" t="s">
        <v>13</v>
      </c>
      <c r="G82" t="s">
        <v>249</v>
      </c>
      <c r="H82">
        <v>3700</v>
      </c>
      <c r="J82">
        <v>1600</v>
      </c>
      <c r="K82">
        <v>160</v>
      </c>
      <c r="M82">
        <v>298279.01521807001</v>
      </c>
      <c r="N82">
        <v>2512.8554988646501</v>
      </c>
    </row>
    <row r="83" spans="2:14">
      <c r="B83">
        <v>94382</v>
      </c>
      <c r="D83">
        <v>7684</v>
      </c>
      <c r="E83" t="s">
        <v>60</v>
      </c>
      <c r="F83" t="s">
        <v>13</v>
      </c>
      <c r="G83" t="s">
        <v>249</v>
      </c>
      <c r="H83">
        <v>3700</v>
      </c>
      <c r="J83">
        <v>1600</v>
      </c>
      <c r="K83">
        <v>160</v>
      </c>
      <c r="M83">
        <v>138972.92307332499</v>
      </c>
      <c r="N83">
        <v>1538.0613536594001</v>
      </c>
    </row>
    <row r="84" spans="2:14">
      <c r="B84">
        <v>94380</v>
      </c>
      <c r="D84">
        <v>7684</v>
      </c>
      <c r="E84" t="s">
        <v>60</v>
      </c>
      <c r="F84" t="s">
        <v>13</v>
      </c>
      <c r="G84" t="s">
        <v>249</v>
      </c>
      <c r="H84">
        <v>3700</v>
      </c>
      <c r="J84">
        <v>1600</v>
      </c>
      <c r="K84">
        <v>160</v>
      </c>
      <c r="M84">
        <v>980277.58873993997</v>
      </c>
      <c r="N84">
        <v>4470.5282413634404</v>
      </c>
    </row>
    <row r="85" spans="2:14">
      <c r="B85">
        <v>92142</v>
      </c>
      <c r="D85">
        <v>9263</v>
      </c>
      <c r="E85" t="s">
        <v>80</v>
      </c>
      <c r="F85" t="s">
        <v>13</v>
      </c>
      <c r="G85" t="s">
        <v>249</v>
      </c>
      <c r="H85">
        <v>275</v>
      </c>
      <c r="J85">
        <v>340</v>
      </c>
      <c r="K85">
        <v>60</v>
      </c>
      <c r="M85">
        <v>1868502.4717810501</v>
      </c>
      <c r="N85">
        <v>1294</v>
      </c>
    </row>
    <row r="86" spans="2:14">
      <c r="B86">
        <v>112938</v>
      </c>
      <c r="D86">
        <v>9263</v>
      </c>
      <c r="E86" t="s">
        <v>80</v>
      </c>
      <c r="F86" t="s">
        <v>13</v>
      </c>
      <c r="G86" t="s">
        <v>249</v>
      </c>
      <c r="H86">
        <v>275</v>
      </c>
      <c r="J86">
        <v>340</v>
      </c>
      <c r="K86">
        <v>60</v>
      </c>
      <c r="M86">
        <v>204733.38321180499</v>
      </c>
      <c r="N86">
        <v>2165.8058196217698</v>
      </c>
    </row>
    <row r="87" spans="2:14">
      <c r="B87">
        <v>92143</v>
      </c>
      <c r="D87">
        <v>8790</v>
      </c>
      <c r="E87" t="s">
        <v>98</v>
      </c>
      <c r="F87" t="s">
        <v>13</v>
      </c>
      <c r="G87" t="s">
        <v>249</v>
      </c>
      <c r="H87">
        <v>1500</v>
      </c>
      <c r="J87">
        <v>920</v>
      </c>
      <c r="K87">
        <v>100</v>
      </c>
      <c r="M87">
        <v>1750262</v>
      </c>
      <c r="N87">
        <v>5094</v>
      </c>
    </row>
    <row r="88" spans="2:14">
      <c r="B88">
        <v>94389</v>
      </c>
      <c r="D88">
        <v>7800</v>
      </c>
      <c r="E88" t="s">
        <v>66</v>
      </c>
      <c r="F88" t="s">
        <v>13</v>
      </c>
      <c r="G88" t="s">
        <v>249</v>
      </c>
      <c r="H88">
        <v>2950</v>
      </c>
      <c r="J88">
        <v>1300</v>
      </c>
      <c r="K88">
        <v>120</v>
      </c>
      <c r="M88">
        <v>1379572.56456585</v>
      </c>
      <c r="N88">
        <v>5209.4880552079503</v>
      </c>
    </row>
    <row r="89" spans="2:14">
      <c r="B89">
        <v>94386</v>
      </c>
      <c r="D89">
        <v>7800</v>
      </c>
      <c r="E89" t="s">
        <v>66</v>
      </c>
      <c r="F89" t="s">
        <v>13</v>
      </c>
      <c r="G89" t="s">
        <v>249</v>
      </c>
      <c r="H89">
        <v>2950</v>
      </c>
      <c r="J89">
        <v>1300</v>
      </c>
      <c r="K89">
        <v>120</v>
      </c>
      <c r="M89">
        <v>96271.323011745</v>
      </c>
      <c r="N89">
        <v>1310.6966594185501</v>
      </c>
    </row>
    <row r="90" spans="2:14">
      <c r="B90">
        <v>94388</v>
      </c>
      <c r="D90">
        <v>7800</v>
      </c>
      <c r="E90" t="s">
        <v>66</v>
      </c>
      <c r="F90" t="s">
        <v>13</v>
      </c>
      <c r="G90" t="s">
        <v>249</v>
      </c>
      <c r="H90">
        <v>2950</v>
      </c>
      <c r="J90">
        <v>1300</v>
      </c>
      <c r="K90">
        <v>120</v>
      </c>
      <c r="M90">
        <v>328235.34820607002</v>
      </c>
      <c r="N90">
        <v>2514.5788889160799</v>
      </c>
    </row>
    <row r="91" spans="2:14">
      <c r="B91">
        <v>94390</v>
      </c>
      <c r="D91">
        <v>7800</v>
      </c>
      <c r="E91" t="s">
        <v>66</v>
      </c>
      <c r="F91" t="s">
        <v>13</v>
      </c>
      <c r="G91" t="s">
        <v>249</v>
      </c>
      <c r="H91">
        <v>2950</v>
      </c>
      <c r="J91">
        <v>1300</v>
      </c>
      <c r="K91">
        <v>120</v>
      </c>
      <c r="M91">
        <v>217776.30183630501</v>
      </c>
      <c r="N91">
        <v>2265.9669499097899</v>
      </c>
    </row>
    <row r="92" spans="2:14">
      <c r="B92">
        <v>94387</v>
      </c>
      <c r="D92">
        <v>7800</v>
      </c>
      <c r="E92" t="s">
        <v>66</v>
      </c>
      <c r="F92" t="s">
        <v>13</v>
      </c>
      <c r="G92" t="s">
        <v>249</v>
      </c>
      <c r="H92">
        <v>2950</v>
      </c>
      <c r="J92">
        <v>1300</v>
      </c>
      <c r="K92">
        <v>120</v>
      </c>
      <c r="M92">
        <v>1836051.1404295799</v>
      </c>
      <c r="N92">
        <v>6113.2140982128103</v>
      </c>
    </row>
    <row r="93" spans="2:14">
      <c r="B93">
        <v>94392</v>
      </c>
      <c r="D93">
        <v>7800</v>
      </c>
      <c r="E93" t="s">
        <v>66</v>
      </c>
      <c r="F93" t="s">
        <v>13</v>
      </c>
      <c r="G93" t="s">
        <v>249</v>
      </c>
      <c r="H93">
        <v>2950</v>
      </c>
      <c r="J93">
        <v>1300</v>
      </c>
      <c r="K93">
        <v>120</v>
      </c>
      <c r="M93">
        <v>1159155.00023205</v>
      </c>
      <c r="N93">
        <v>5062.5338751202798</v>
      </c>
    </row>
    <row r="94" spans="2:14">
      <c r="B94">
        <v>94391</v>
      </c>
      <c r="D94">
        <v>7800</v>
      </c>
      <c r="E94" t="s">
        <v>66</v>
      </c>
      <c r="F94" t="s">
        <v>13</v>
      </c>
      <c r="G94" t="s">
        <v>249</v>
      </c>
      <c r="H94">
        <v>2950</v>
      </c>
      <c r="J94">
        <v>1300</v>
      </c>
      <c r="K94">
        <v>120</v>
      </c>
      <c r="M94">
        <v>1580212.41684211</v>
      </c>
      <c r="N94">
        <v>7511.3606991966899</v>
      </c>
    </row>
    <row r="95" spans="2:14">
      <c r="B95">
        <v>94396</v>
      </c>
      <c r="D95">
        <v>8270</v>
      </c>
      <c r="E95" t="s">
        <v>83</v>
      </c>
      <c r="F95" t="s">
        <v>13</v>
      </c>
      <c r="G95" t="s">
        <v>249</v>
      </c>
      <c r="H95">
        <v>1550</v>
      </c>
      <c r="J95">
        <v>500</v>
      </c>
      <c r="K95">
        <v>80</v>
      </c>
      <c r="M95">
        <v>1712060.6465161</v>
      </c>
      <c r="N95">
        <v>8346.8532880762104</v>
      </c>
    </row>
    <row r="96" spans="2:14">
      <c r="B96">
        <v>94393</v>
      </c>
      <c r="D96">
        <v>8310</v>
      </c>
      <c r="E96" t="s">
        <v>85</v>
      </c>
      <c r="F96" t="s">
        <v>13</v>
      </c>
      <c r="G96" t="s">
        <v>249</v>
      </c>
      <c r="H96">
        <v>1000</v>
      </c>
      <c r="J96">
        <v>440</v>
      </c>
      <c r="K96">
        <v>60</v>
      </c>
      <c r="M96">
        <v>1779379.0099267999</v>
      </c>
      <c r="N96">
        <v>7292.5399186004697</v>
      </c>
    </row>
    <row r="97" spans="2:14">
      <c r="B97">
        <v>94394</v>
      </c>
      <c r="D97">
        <v>8310</v>
      </c>
      <c r="E97" t="s">
        <v>85</v>
      </c>
      <c r="F97" t="s">
        <v>13</v>
      </c>
      <c r="G97" t="s">
        <v>249</v>
      </c>
      <c r="H97">
        <v>1000</v>
      </c>
      <c r="J97">
        <v>440</v>
      </c>
      <c r="K97">
        <v>60</v>
      </c>
      <c r="M97">
        <v>3000574.3171236599</v>
      </c>
      <c r="N97">
        <v>1345</v>
      </c>
    </row>
    <row r="98" spans="2:14">
      <c r="B98">
        <v>94400</v>
      </c>
      <c r="D98">
        <v>8812</v>
      </c>
      <c r="E98" t="s">
        <v>99</v>
      </c>
      <c r="F98" t="s">
        <v>13</v>
      </c>
      <c r="G98" t="s">
        <v>249</v>
      </c>
      <c r="H98">
        <v>6760</v>
      </c>
      <c r="J98">
        <v>2780</v>
      </c>
      <c r="K98">
        <v>240</v>
      </c>
      <c r="M98">
        <v>573162.00752719503</v>
      </c>
      <c r="N98">
        <v>3512.5469552621698</v>
      </c>
    </row>
    <row r="99" spans="2:14">
      <c r="B99">
        <v>94403</v>
      </c>
      <c r="D99">
        <v>8812</v>
      </c>
      <c r="E99" t="s">
        <v>99</v>
      </c>
      <c r="F99" t="s">
        <v>13</v>
      </c>
      <c r="G99" t="s">
        <v>249</v>
      </c>
      <c r="H99">
        <v>6760</v>
      </c>
      <c r="J99">
        <v>2780</v>
      </c>
      <c r="K99">
        <v>240</v>
      </c>
      <c r="M99">
        <v>599245.37811257003</v>
      </c>
      <c r="N99">
        <v>3603.3357440610398</v>
      </c>
    </row>
    <row r="100" spans="2:14">
      <c r="B100">
        <v>94401</v>
      </c>
      <c r="D100">
        <v>8812</v>
      </c>
      <c r="E100" t="s">
        <v>99</v>
      </c>
      <c r="F100" t="s">
        <v>13</v>
      </c>
      <c r="G100" t="s">
        <v>249</v>
      </c>
      <c r="H100">
        <v>6760</v>
      </c>
      <c r="J100">
        <v>2780</v>
      </c>
      <c r="K100">
        <v>240</v>
      </c>
      <c r="M100">
        <v>890391.06280445994</v>
      </c>
      <c r="N100">
        <v>4146.5550918750896</v>
      </c>
    </row>
    <row r="101" spans="2:14">
      <c r="B101">
        <v>94402</v>
      </c>
      <c r="D101">
        <v>8812</v>
      </c>
      <c r="E101" t="s">
        <v>99</v>
      </c>
      <c r="F101" t="s">
        <v>13</v>
      </c>
      <c r="G101" t="s">
        <v>249</v>
      </c>
      <c r="H101">
        <v>6760</v>
      </c>
      <c r="J101">
        <v>2780</v>
      </c>
      <c r="K101">
        <v>240</v>
      </c>
      <c r="M101">
        <v>524670.74653424497</v>
      </c>
      <c r="N101">
        <v>3802.8042836852101</v>
      </c>
    </row>
    <row r="102" spans="2:14">
      <c r="B102">
        <v>94406</v>
      </c>
      <c r="D102">
        <v>8812</v>
      </c>
      <c r="E102" t="s">
        <v>99</v>
      </c>
      <c r="F102" t="s">
        <v>13</v>
      </c>
      <c r="G102" t="s">
        <v>249</v>
      </c>
      <c r="H102">
        <v>6760</v>
      </c>
      <c r="J102">
        <v>2780</v>
      </c>
      <c r="K102">
        <v>240</v>
      </c>
      <c r="M102">
        <v>1516747.26826117</v>
      </c>
      <c r="N102">
        <v>6517.9897037256796</v>
      </c>
    </row>
    <row r="103" spans="2:14">
      <c r="B103">
        <v>94405</v>
      </c>
      <c r="D103">
        <v>8812</v>
      </c>
      <c r="E103" t="s">
        <v>99</v>
      </c>
      <c r="F103" t="s">
        <v>13</v>
      </c>
      <c r="G103" t="s">
        <v>249</v>
      </c>
      <c r="H103">
        <v>6760</v>
      </c>
      <c r="J103">
        <v>2780</v>
      </c>
      <c r="K103">
        <v>240</v>
      </c>
      <c r="M103">
        <v>594522.72639775998</v>
      </c>
      <c r="N103">
        <v>3617.1395591922701</v>
      </c>
    </row>
    <row r="104" spans="2:14">
      <c r="B104">
        <v>94404</v>
      </c>
      <c r="D104">
        <v>8812</v>
      </c>
      <c r="E104" t="s">
        <v>99</v>
      </c>
      <c r="F104" t="s">
        <v>13</v>
      </c>
      <c r="G104" t="s">
        <v>249</v>
      </c>
      <c r="H104">
        <v>6760</v>
      </c>
      <c r="J104">
        <v>2780</v>
      </c>
      <c r="K104">
        <v>240</v>
      </c>
      <c r="M104">
        <v>1203075.1819497601</v>
      </c>
      <c r="N104">
        <v>6933.44172203568</v>
      </c>
    </row>
    <row r="105" spans="2:14">
      <c r="B105">
        <v>94398</v>
      </c>
      <c r="D105">
        <v>8812</v>
      </c>
      <c r="E105" t="s">
        <v>99</v>
      </c>
      <c r="F105" t="s">
        <v>13</v>
      </c>
      <c r="G105" t="s">
        <v>249</v>
      </c>
      <c r="H105">
        <v>6760</v>
      </c>
      <c r="J105">
        <v>2780</v>
      </c>
      <c r="K105">
        <v>240</v>
      </c>
      <c r="M105">
        <v>1219357.4027156699</v>
      </c>
      <c r="N105">
        <v>8090.5089220357904</v>
      </c>
    </row>
    <row r="106" spans="2:14">
      <c r="B106">
        <v>94397</v>
      </c>
      <c r="D106">
        <v>8812</v>
      </c>
      <c r="E106" t="s">
        <v>99</v>
      </c>
      <c r="F106" t="s">
        <v>13</v>
      </c>
      <c r="G106" t="s">
        <v>249</v>
      </c>
      <c r="H106">
        <v>6760</v>
      </c>
      <c r="J106">
        <v>2780</v>
      </c>
      <c r="K106">
        <v>240</v>
      </c>
      <c r="M106">
        <v>1465410.4183280801</v>
      </c>
      <c r="N106">
        <v>7451.6791073136801</v>
      </c>
    </row>
    <row r="107" spans="2:14">
      <c r="B107">
        <v>94399</v>
      </c>
      <c r="D107">
        <v>8812</v>
      </c>
      <c r="E107" t="s">
        <v>99</v>
      </c>
      <c r="F107" t="s">
        <v>13</v>
      </c>
      <c r="G107" t="s">
        <v>249</v>
      </c>
      <c r="H107">
        <v>6760</v>
      </c>
      <c r="J107">
        <v>2780</v>
      </c>
      <c r="K107">
        <v>240</v>
      </c>
      <c r="M107">
        <v>535321.44107612001</v>
      </c>
      <c r="N107">
        <v>3284.5844942191602</v>
      </c>
    </row>
    <row r="108" spans="2:14">
      <c r="B108">
        <v>94407</v>
      </c>
      <c r="D108">
        <v>8812</v>
      </c>
      <c r="E108" t="s">
        <v>99</v>
      </c>
      <c r="F108" t="s">
        <v>13</v>
      </c>
      <c r="G108" t="s">
        <v>249</v>
      </c>
      <c r="H108">
        <v>6760</v>
      </c>
      <c r="J108">
        <v>2780</v>
      </c>
      <c r="K108">
        <v>240</v>
      </c>
      <c r="M108">
        <v>282826.59359241999</v>
      </c>
      <c r="N108">
        <v>2314.2105240505298</v>
      </c>
    </row>
    <row r="109" spans="2:14">
      <c r="B109">
        <v>91828</v>
      </c>
      <c r="D109">
        <v>7250</v>
      </c>
      <c r="E109" t="s">
        <v>39</v>
      </c>
      <c r="F109" t="s">
        <v>13</v>
      </c>
      <c r="G109" t="s">
        <v>249</v>
      </c>
      <c r="H109">
        <v>3500</v>
      </c>
      <c r="J109">
        <v>2380</v>
      </c>
      <c r="K109">
        <v>200</v>
      </c>
      <c r="M109">
        <v>1275915</v>
      </c>
      <c r="N109">
        <v>2234</v>
      </c>
    </row>
    <row r="110" spans="2:14">
      <c r="B110">
        <v>91828</v>
      </c>
      <c r="D110">
        <v>7250</v>
      </c>
      <c r="E110" t="s">
        <v>39</v>
      </c>
      <c r="F110" t="s">
        <v>13</v>
      </c>
      <c r="G110" t="s">
        <v>249</v>
      </c>
      <c r="H110">
        <v>3500</v>
      </c>
      <c r="J110">
        <v>2380</v>
      </c>
      <c r="K110">
        <v>200</v>
      </c>
      <c r="M110">
        <v>1275915</v>
      </c>
      <c r="N110">
        <v>2234</v>
      </c>
    </row>
    <row r="111" spans="2:14">
      <c r="B111">
        <v>91829</v>
      </c>
      <c r="D111">
        <v>7250</v>
      </c>
      <c r="E111" t="s">
        <v>39</v>
      </c>
      <c r="F111" t="s">
        <v>13</v>
      </c>
      <c r="G111" t="s">
        <v>249</v>
      </c>
      <c r="H111">
        <v>3500</v>
      </c>
      <c r="J111">
        <v>2380</v>
      </c>
      <c r="K111">
        <v>200</v>
      </c>
      <c r="M111">
        <v>1571689.39370982</v>
      </c>
      <c r="N111">
        <v>6438.0664315887898</v>
      </c>
    </row>
    <row r="112" spans="2:14">
      <c r="B112">
        <v>91829</v>
      </c>
      <c r="D112">
        <v>7250</v>
      </c>
      <c r="E112" t="s">
        <v>39</v>
      </c>
      <c r="F112" t="s">
        <v>13</v>
      </c>
      <c r="G112" t="s">
        <v>249</v>
      </c>
      <c r="H112">
        <v>3500</v>
      </c>
      <c r="J112">
        <v>2380</v>
      </c>
      <c r="K112">
        <v>200</v>
      </c>
      <c r="M112">
        <v>1571689.39370982</v>
      </c>
      <c r="N112">
        <v>6438.0664315887898</v>
      </c>
    </row>
    <row r="113" spans="2:14">
      <c r="B113">
        <v>91830</v>
      </c>
      <c r="D113">
        <v>7095</v>
      </c>
      <c r="E113" t="s">
        <v>35</v>
      </c>
      <c r="F113" t="s">
        <v>13</v>
      </c>
      <c r="G113" t="s">
        <v>249</v>
      </c>
      <c r="H113">
        <v>1980</v>
      </c>
      <c r="J113">
        <v>1200</v>
      </c>
      <c r="K113">
        <v>120</v>
      </c>
      <c r="M113">
        <v>4630484.4550378704</v>
      </c>
      <c r="N113">
        <v>1220</v>
      </c>
    </row>
    <row r="114" spans="2:14">
      <c r="B114">
        <v>92145</v>
      </c>
      <c r="D114">
        <v>11387</v>
      </c>
      <c r="E114" t="s">
        <v>268</v>
      </c>
      <c r="F114" t="s">
        <v>13</v>
      </c>
      <c r="G114" t="s">
        <v>249</v>
      </c>
      <c r="H114">
        <v>490</v>
      </c>
      <c r="J114">
        <v>300</v>
      </c>
      <c r="K114">
        <v>60</v>
      </c>
      <c r="M114">
        <v>1896796.26342481</v>
      </c>
      <c r="N114">
        <v>9656.2190291582501</v>
      </c>
    </row>
    <row r="115" spans="2:14">
      <c r="B115">
        <v>93740</v>
      </c>
      <c r="D115">
        <v>9493</v>
      </c>
      <c r="E115" t="s">
        <v>86</v>
      </c>
      <c r="F115" t="s">
        <v>13</v>
      </c>
      <c r="G115" t="s">
        <v>249</v>
      </c>
      <c r="H115">
        <v>1000</v>
      </c>
      <c r="J115">
        <v>640</v>
      </c>
      <c r="K115">
        <v>100</v>
      </c>
      <c r="M115">
        <v>4473445.1447146898</v>
      </c>
      <c r="N115">
        <v>1141</v>
      </c>
    </row>
    <row r="116" spans="2:14">
      <c r="B116">
        <v>93739</v>
      </c>
      <c r="D116">
        <v>9493</v>
      </c>
      <c r="E116" t="s">
        <v>86</v>
      </c>
      <c r="F116" t="s">
        <v>13</v>
      </c>
      <c r="G116" t="s">
        <v>249</v>
      </c>
      <c r="H116">
        <v>1000</v>
      </c>
      <c r="J116">
        <v>640</v>
      </c>
      <c r="K116">
        <v>100</v>
      </c>
      <c r="M116">
        <v>1693995.50572233</v>
      </c>
      <c r="N116">
        <v>5417.9847310199602</v>
      </c>
    </row>
    <row r="117" spans="2:14">
      <c r="B117">
        <v>129258</v>
      </c>
      <c r="D117">
        <v>7450</v>
      </c>
      <c r="E117" t="s">
        <v>44</v>
      </c>
      <c r="F117" t="s">
        <v>13</v>
      </c>
      <c r="G117" t="s">
        <v>249</v>
      </c>
      <c r="H117">
        <v>2800</v>
      </c>
      <c r="J117">
        <v>1640</v>
      </c>
      <c r="K117">
        <v>180</v>
      </c>
      <c r="M117">
        <v>2586323</v>
      </c>
      <c r="N117">
        <v>3266</v>
      </c>
    </row>
    <row r="118" spans="2:14">
      <c r="B118">
        <v>91833</v>
      </c>
      <c r="D118">
        <v>7540</v>
      </c>
      <c r="E118" t="s">
        <v>51</v>
      </c>
      <c r="F118" t="s">
        <v>13</v>
      </c>
      <c r="G118" t="s">
        <v>249</v>
      </c>
      <c r="H118">
        <v>1450</v>
      </c>
      <c r="J118">
        <v>960</v>
      </c>
      <c r="K118">
        <v>80</v>
      </c>
      <c r="M118">
        <v>503610.76146011002</v>
      </c>
      <c r="N118">
        <v>2998.2659434194402</v>
      </c>
    </row>
    <row r="119" spans="2:14">
      <c r="B119">
        <v>92138</v>
      </c>
      <c r="D119">
        <v>7540</v>
      </c>
      <c r="E119" t="s">
        <v>51</v>
      </c>
      <c r="F119" t="s">
        <v>13</v>
      </c>
      <c r="G119" t="s">
        <v>249</v>
      </c>
      <c r="H119">
        <v>1450</v>
      </c>
      <c r="J119">
        <v>960</v>
      </c>
      <c r="K119">
        <v>80</v>
      </c>
      <c r="M119">
        <v>9166904.1892167907</v>
      </c>
      <c r="N119">
        <v>1574</v>
      </c>
    </row>
    <row r="120" spans="2:14">
      <c r="B120">
        <v>136620</v>
      </c>
      <c r="D120">
        <v>8170</v>
      </c>
      <c r="E120" t="s">
        <v>79</v>
      </c>
      <c r="F120" t="s">
        <v>13</v>
      </c>
      <c r="G120" t="s">
        <v>249</v>
      </c>
      <c r="H120">
        <v>1000</v>
      </c>
      <c r="J120">
        <v>300</v>
      </c>
      <c r="K120">
        <v>40</v>
      </c>
      <c r="M120">
        <v>6212602.8732270999</v>
      </c>
      <c r="N120">
        <v>1791</v>
      </c>
    </row>
    <row r="121" spans="2:14">
      <c r="B121">
        <v>114221</v>
      </c>
      <c r="D121">
        <v>8600</v>
      </c>
      <c r="E121" t="s">
        <v>81</v>
      </c>
      <c r="F121" t="s">
        <v>13</v>
      </c>
      <c r="G121" t="s">
        <v>249</v>
      </c>
      <c r="H121">
        <v>1600</v>
      </c>
      <c r="J121">
        <v>500</v>
      </c>
      <c r="K121">
        <v>40</v>
      </c>
      <c r="M121">
        <v>1454877</v>
      </c>
      <c r="N121">
        <v>4695</v>
      </c>
    </row>
    <row r="122" spans="2:14">
      <c r="B122">
        <v>90544</v>
      </c>
      <c r="D122">
        <v>8100</v>
      </c>
      <c r="E122" t="s">
        <v>75</v>
      </c>
      <c r="F122" t="s">
        <v>13</v>
      </c>
      <c r="G122" t="s">
        <v>249</v>
      </c>
      <c r="H122">
        <v>650</v>
      </c>
      <c r="J122">
        <v>500</v>
      </c>
      <c r="K122">
        <v>60</v>
      </c>
      <c r="M122">
        <v>8251474.9268952897</v>
      </c>
      <c r="N122">
        <v>2173</v>
      </c>
    </row>
    <row r="123" spans="2:14">
      <c r="B123">
        <v>90547</v>
      </c>
      <c r="D123">
        <v>7815</v>
      </c>
      <c r="E123" t="s">
        <v>67</v>
      </c>
      <c r="F123" t="s">
        <v>13</v>
      </c>
      <c r="G123" t="s">
        <v>249</v>
      </c>
      <c r="J123">
        <v>200</v>
      </c>
      <c r="M123">
        <v>83923.453997195</v>
      </c>
      <c r="N123">
        <v>1308.1531390320499</v>
      </c>
    </row>
    <row r="124" spans="2:14">
      <c r="B124">
        <v>90548</v>
      </c>
      <c r="D124">
        <v>7815</v>
      </c>
      <c r="E124" t="s">
        <v>67</v>
      </c>
      <c r="F124" t="s">
        <v>13</v>
      </c>
      <c r="G124" t="s">
        <v>249</v>
      </c>
      <c r="J124">
        <v>200</v>
      </c>
      <c r="M124">
        <v>98537.145356520006</v>
      </c>
      <c r="N124">
        <v>1312.4992264918101</v>
      </c>
    </row>
    <row r="125" spans="2:14">
      <c r="B125">
        <v>90549</v>
      </c>
      <c r="D125">
        <v>7815</v>
      </c>
      <c r="E125" t="s">
        <v>67</v>
      </c>
      <c r="F125" t="s">
        <v>13</v>
      </c>
      <c r="G125" t="s">
        <v>249</v>
      </c>
      <c r="J125">
        <v>200</v>
      </c>
      <c r="M125">
        <v>574466.26464389998</v>
      </c>
      <c r="N125">
        <v>3074.9424466894902</v>
      </c>
    </row>
    <row r="126" spans="2:14">
      <c r="B126">
        <v>90551</v>
      </c>
      <c r="D126">
        <v>7215</v>
      </c>
      <c r="E126" t="s">
        <v>37</v>
      </c>
      <c r="F126" t="s">
        <v>13</v>
      </c>
      <c r="G126" t="s">
        <v>249</v>
      </c>
      <c r="J126">
        <v>160</v>
      </c>
      <c r="M126">
        <v>143596.802871825</v>
      </c>
      <c r="N126">
        <v>3355.4861179319901</v>
      </c>
    </row>
    <row r="127" spans="2:14">
      <c r="B127">
        <v>90550</v>
      </c>
      <c r="D127">
        <v>7215</v>
      </c>
      <c r="E127" t="s">
        <v>37</v>
      </c>
      <c r="F127" t="s">
        <v>13</v>
      </c>
      <c r="G127" t="s">
        <v>249</v>
      </c>
      <c r="J127">
        <v>160</v>
      </c>
      <c r="M127">
        <v>421364.81053429999</v>
      </c>
      <c r="N127">
        <v>2943.4176378944899</v>
      </c>
    </row>
    <row r="128" spans="2:14">
      <c r="B128">
        <v>144632</v>
      </c>
      <c r="D128">
        <v>10243</v>
      </c>
      <c r="E128" t="s">
        <v>87</v>
      </c>
      <c r="F128" t="s">
        <v>13</v>
      </c>
      <c r="G128" t="s">
        <v>249</v>
      </c>
      <c r="J128">
        <v>280</v>
      </c>
      <c r="K128">
        <v>60</v>
      </c>
      <c r="M128">
        <v>661522.686860585</v>
      </c>
      <c r="N128">
        <v>3824.7731344035001</v>
      </c>
    </row>
    <row r="129" spans="2:14">
      <c r="B129">
        <v>144618</v>
      </c>
      <c r="D129">
        <v>10243</v>
      </c>
      <c r="E129" t="s">
        <v>87</v>
      </c>
      <c r="F129" t="s">
        <v>13</v>
      </c>
      <c r="G129" t="s">
        <v>249</v>
      </c>
      <c r="J129">
        <v>280</v>
      </c>
      <c r="K129">
        <v>60</v>
      </c>
      <c r="M129">
        <v>345485.94394684001</v>
      </c>
      <c r="N129">
        <v>3660.2141276735101</v>
      </c>
    </row>
    <row r="130" spans="2:14">
      <c r="B130">
        <v>144619</v>
      </c>
      <c r="D130">
        <v>10243</v>
      </c>
      <c r="E130" t="s">
        <v>87</v>
      </c>
      <c r="F130" t="s">
        <v>13</v>
      </c>
      <c r="G130" t="s">
        <v>249</v>
      </c>
      <c r="J130">
        <v>280</v>
      </c>
      <c r="K130">
        <v>60</v>
      </c>
      <c r="M130">
        <v>267907.68836225499</v>
      </c>
      <c r="N130">
        <v>2297.8950730492202</v>
      </c>
    </row>
    <row r="131" spans="2:14">
      <c r="B131">
        <v>144631</v>
      </c>
      <c r="D131">
        <v>10243</v>
      </c>
      <c r="E131" t="s">
        <v>87</v>
      </c>
      <c r="F131" t="s">
        <v>13</v>
      </c>
      <c r="G131" t="s">
        <v>249</v>
      </c>
      <c r="J131">
        <v>280</v>
      </c>
      <c r="K131">
        <v>60</v>
      </c>
      <c r="M131">
        <v>212059.02576130501</v>
      </c>
      <c r="N131">
        <v>2107.0143733436098</v>
      </c>
    </row>
    <row r="132" spans="2:14">
      <c r="B132">
        <v>90553</v>
      </c>
      <c r="D132">
        <v>8635</v>
      </c>
      <c r="E132" t="s">
        <v>93</v>
      </c>
      <c r="F132" t="s">
        <v>13</v>
      </c>
      <c r="G132" t="s">
        <v>249</v>
      </c>
      <c r="J132">
        <v>100</v>
      </c>
      <c r="M132">
        <v>50232.416134095001</v>
      </c>
      <c r="N132">
        <v>1012.52190418543</v>
      </c>
    </row>
    <row r="133" spans="2:14">
      <c r="B133">
        <v>90552</v>
      </c>
      <c r="D133">
        <v>8635</v>
      </c>
      <c r="E133" t="s">
        <v>93</v>
      </c>
      <c r="F133" t="s">
        <v>13</v>
      </c>
      <c r="G133" t="s">
        <v>249</v>
      </c>
      <c r="J133">
        <v>100</v>
      </c>
      <c r="M133">
        <v>306646.31832406</v>
      </c>
      <c r="N133">
        <v>2294.2015078059999</v>
      </c>
    </row>
    <row r="134" spans="2:14">
      <c r="B134">
        <v>129908</v>
      </c>
      <c r="D134">
        <v>8870</v>
      </c>
      <c r="E134" t="s">
        <v>100</v>
      </c>
      <c r="F134" t="s">
        <v>13</v>
      </c>
      <c r="G134" t="s">
        <v>249</v>
      </c>
      <c r="H134">
        <v>3100</v>
      </c>
      <c r="J134">
        <v>1560</v>
      </c>
      <c r="K134">
        <v>160</v>
      </c>
      <c r="M134">
        <v>2195955.3614548598</v>
      </c>
      <c r="N134">
        <v>8970.4566512469301</v>
      </c>
    </row>
    <row r="135" spans="2:14">
      <c r="B135">
        <v>129903</v>
      </c>
      <c r="D135">
        <v>8870</v>
      </c>
      <c r="E135" t="s">
        <v>100</v>
      </c>
      <c r="F135" t="s">
        <v>13</v>
      </c>
      <c r="G135" t="s">
        <v>249</v>
      </c>
      <c r="H135">
        <v>3100</v>
      </c>
      <c r="J135">
        <v>1560</v>
      </c>
      <c r="K135">
        <v>160</v>
      </c>
      <c r="M135">
        <v>625121.08653500001</v>
      </c>
      <c r="N135">
        <v>4068.2305181358201</v>
      </c>
    </row>
    <row r="136" spans="2:14">
      <c r="B136">
        <v>129910</v>
      </c>
      <c r="D136">
        <v>8870</v>
      </c>
      <c r="E136" t="s">
        <v>100</v>
      </c>
      <c r="F136" t="s">
        <v>13</v>
      </c>
      <c r="G136" t="s">
        <v>249</v>
      </c>
      <c r="H136">
        <v>3100</v>
      </c>
      <c r="J136">
        <v>1560</v>
      </c>
      <c r="K136">
        <v>160</v>
      </c>
      <c r="M136">
        <v>1116244.79419316</v>
      </c>
      <c r="N136">
        <v>6330.8232345483602</v>
      </c>
    </row>
    <row r="137" spans="2:14">
      <c r="B137">
        <v>129899</v>
      </c>
      <c r="D137">
        <v>8870</v>
      </c>
      <c r="E137" t="s">
        <v>100</v>
      </c>
      <c r="F137" t="s">
        <v>13</v>
      </c>
      <c r="G137" t="s">
        <v>249</v>
      </c>
      <c r="H137">
        <v>3100</v>
      </c>
      <c r="J137">
        <v>1560</v>
      </c>
      <c r="K137">
        <v>160</v>
      </c>
      <c r="M137">
        <v>2236882.9264586898</v>
      </c>
      <c r="N137">
        <v>7244.9115352838899</v>
      </c>
    </row>
    <row r="138" spans="2:14">
      <c r="B138">
        <v>129907</v>
      </c>
      <c r="D138">
        <v>8870</v>
      </c>
      <c r="E138" t="s">
        <v>100</v>
      </c>
      <c r="F138" t="s">
        <v>13</v>
      </c>
      <c r="G138" t="s">
        <v>249</v>
      </c>
      <c r="H138">
        <v>3100</v>
      </c>
      <c r="J138">
        <v>1560</v>
      </c>
      <c r="K138">
        <v>160</v>
      </c>
      <c r="M138">
        <v>1865214.7770951099</v>
      </c>
      <c r="N138">
        <v>6374.3046095977597</v>
      </c>
    </row>
    <row r="139" spans="2:14">
      <c r="B139">
        <v>129905</v>
      </c>
      <c r="D139">
        <v>8870</v>
      </c>
      <c r="E139" t="s">
        <v>100</v>
      </c>
      <c r="F139" t="s">
        <v>13</v>
      </c>
      <c r="G139" t="s">
        <v>249</v>
      </c>
      <c r="H139">
        <v>3100</v>
      </c>
      <c r="J139">
        <v>1560</v>
      </c>
      <c r="K139">
        <v>160</v>
      </c>
      <c r="M139">
        <v>50638.608063665</v>
      </c>
      <c r="N139">
        <v>1219.0339372691799</v>
      </c>
    </row>
    <row r="140" spans="2:14">
      <c r="B140">
        <v>129900</v>
      </c>
      <c r="D140">
        <v>8870</v>
      </c>
      <c r="E140" t="s">
        <v>100</v>
      </c>
      <c r="F140" t="s">
        <v>13</v>
      </c>
      <c r="G140" t="s">
        <v>249</v>
      </c>
      <c r="H140">
        <v>3100</v>
      </c>
      <c r="J140">
        <v>1560</v>
      </c>
      <c r="K140">
        <v>160</v>
      </c>
      <c r="M140">
        <v>1635004.9902959999</v>
      </c>
      <c r="N140">
        <v>6563.4864338378802</v>
      </c>
    </row>
    <row r="141" spans="2:14">
      <c r="B141">
        <v>129909</v>
      </c>
      <c r="D141">
        <v>8870</v>
      </c>
      <c r="E141" t="s">
        <v>100</v>
      </c>
      <c r="F141" t="s">
        <v>13</v>
      </c>
      <c r="G141" t="s">
        <v>249</v>
      </c>
      <c r="H141">
        <v>3100</v>
      </c>
      <c r="J141">
        <v>1560</v>
      </c>
      <c r="K141">
        <v>160</v>
      </c>
      <c r="M141">
        <v>952666.11228901998</v>
      </c>
      <c r="N141">
        <v>3839.89435364268</v>
      </c>
    </row>
    <row r="142" spans="2:14">
      <c r="B142">
        <v>129906</v>
      </c>
      <c r="D142">
        <v>8870</v>
      </c>
      <c r="E142" t="s">
        <v>100</v>
      </c>
      <c r="F142" t="s">
        <v>13</v>
      </c>
      <c r="G142" t="s">
        <v>249</v>
      </c>
      <c r="H142">
        <v>3100</v>
      </c>
      <c r="J142">
        <v>1560</v>
      </c>
      <c r="K142">
        <v>160</v>
      </c>
      <c r="M142">
        <v>1876576.89277555</v>
      </c>
      <c r="N142">
        <v>6726.9740073825396</v>
      </c>
    </row>
    <row r="143" spans="2:14">
      <c r="B143">
        <v>132138</v>
      </c>
      <c r="D143">
        <v>10413</v>
      </c>
      <c r="E143" t="s">
        <v>91</v>
      </c>
      <c r="F143" t="s">
        <v>13</v>
      </c>
      <c r="G143" t="s">
        <v>249</v>
      </c>
      <c r="H143">
        <v>115</v>
      </c>
      <c r="J143">
        <v>100</v>
      </c>
      <c r="K143">
        <v>20</v>
      </c>
      <c r="M143">
        <v>531419.87849124998</v>
      </c>
      <c r="N143">
        <v>4538.1135417519499</v>
      </c>
    </row>
    <row r="144" spans="2:14">
      <c r="B144">
        <v>156474</v>
      </c>
      <c r="D144">
        <v>11599</v>
      </c>
      <c r="E144" t="s">
        <v>262</v>
      </c>
      <c r="F144" t="s">
        <v>14</v>
      </c>
      <c r="G144" t="s">
        <v>249</v>
      </c>
      <c r="H144">
        <v>120</v>
      </c>
      <c r="J144">
        <v>20</v>
      </c>
      <c r="K144">
        <v>20</v>
      </c>
      <c r="M144">
        <v>218964.08509062001</v>
      </c>
      <c r="N144">
        <v>2866.6691040728801</v>
      </c>
    </row>
    <row r="145" spans="2:14">
      <c r="B145">
        <v>96637</v>
      </c>
      <c r="D145">
        <v>8110</v>
      </c>
      <c r="E145" t="s">
        <v>76</v>
      </c>
      <c r="F145" t="s">
        <v>14</v>
      </c>
      <c r="G145" t="s">
        <v>249</v>
      </c>
      <c r="H145">
        <v>500</v>
      </c>
      <c r="J145">
        <v>140</v>
      </c>
      <c r="K145">
        <v>140</v>
      </c>
      <c r="M145">
        <v>127152.5103468</v>
      </c>
      <c r="N145">
        <v>1761.6266551037299</v>
      </c>
    </row>
    <row r="146" spans="2:14">
      <c r="B146">
        <v>91500</v>
      </c>
      <c r="D146">
        <v>8110</v>
      </c>
      <c r="E146" t="s">
        <v>76</v>
      </c>
      <c r="F146" t="s">
        <v>14</v>
      </c>
      <c r="G146" t="s">
        <v>249</v>
      </c>
      <c r="H146">
        <v>500</v>
      </c>
      <c r="J146">
        <v>140</v>
      </c>
      <c r="K146">
        <v>140</v>
      </c>
      <c r="M146">
        <v>414997.66123532498</v>
      </c>
      <c r="N146">
        <v>4552.4952055951899</v>
      </c>
    </row>
    <row r="147" spans="2:14">
      <c r="B147">
        <v>96633</v>
      </c>
      <c r="D147">
        <v>8110</v>
      </c>
      <c r="E147" t="s">
        <v>76</v>
      </c>
      <c r="F147" t="s">
        <v>14</v>
      </c>
      <c r="G147" t="s">
        <v>249</v>
      </c>
      <c r="H147">
        <v>500</v>
      </c>
      <c r="J147">
        <v>140</v>
      </c>
      <c r="K147">
        <v>140</v>
      </c>
      <c r="M147">
        <v>210572.61164938999</v>
      </c>
      <c r="N147">
        <v>3275.8778974479601</v>
      </c>
    </row>
    <row r="148" spans="2:14">
      <c r="B148">
        <v>91501</v>
      </c>
      <c r="D148">
        <v>8110</v>
      </c>
      <c r="E148" t="s">
        <v>76</v>
      </c>
      <c r="F148" t="s">
        <v>14</v>
      </c>
      <c r="G148" t="s">
        <v>249</v>
      </c>
      <c r="H148">
        <v>500</v>
      </c>
      <c r="J148">
        <v>140</v>
      </c>
      <c r="K148">
        <v>140</v>
      </c>
      <c r="M148">
        <v>123715.896554705</v>
      </c>
      <c r="N148">
        <v>1462.50993585123</v>
      </c>
    </row>
    <row r="149" spans="2:14">
      <c r="B149">
        <v>91498</v>
      </c>
      <c r="D149">
        <v>8110</v>
      </c>
      <c r="E149" t="s">
        <v>76</v>
      </c>
      <c r="F149" t="s">
        <v>14</v>
      </c>
      <c r="G149" t="s">
        <v>249</v>
      </c>
      <c r="H149">
        <v>500</v>
      </c>
      <c r="J149">
        <v>140</v>
      </c>
      <c r="K149">
        <v>140</v>
      </c>
      <c r="M149">
        <v>31387.852648475</v>
      </c>
      <c r="N149">
        <v>721.54245095507304</v>
      </c>
    </row>
    <row r="150" spans="2:14">
      <c r="B150">
        <v>91499</v>
      </c>
      <c r="D150">
        <v>8110</v>
      </c>
      <c r="E150" t="s">
        <v>76</v>
      </c>
      <c r="F150" t="s">
        <v>14</v>
      </c>
      <c r="G150" t="s">
        <v>249</v>
      </c>
      <c r="H150">
        <v>500</v>
      </c>
      <c r="J150">
        <v>140</v>
      </c>
      <c r="K150">
        <v>140</v>
      </c>
      <c r="M150">
        <v>237322.748942195</v>
      </c>
      <c r="N150">
        <v>2623.6776659432699</v>
      </c>
    </row>
    <row r="151" spans="2:14">
      <c r="B151">
        <v>91504</v>
      </c>
      <c r="D151">
        <v>8110</v>
      </c>
      <c r="E151" t="s">
        <v>76</v>
      </c>
      <c r="F151" t="s">
        <v>14</v>
      </c>
      <c r="G151" t="s">
        <v>249</v>
      </c>
      <c r="H151">
        <v>500</v>
      </c>
      <c r="J151">
        <v>140</v>
      </c>
      <c r="K151">
        <v>140</v>
      </c>
      <c r="M151">
        <v>104886.70712394999</v>
      </c>
      <c r="N151">
        <v>2036.98023569918</v>
      </c>
    </row>
    <row r="152" spans="2:14">
      <c r="B152">
        <v>96636</v>
      </c>
      <c r="D152">
        <v>8110</v>
      </c>
      <c r="E152" t="s">
        <v>76</v>
      </c>
      <c r="F152" t="s">
        <v>14</v>
      </c>
      <c r="G152" t="s">
        <v>249</v>
      </c>
      <c r="H152">
        <v>500</v>
      </c>
      <c r="J152">
        <v>140</v>
      </c>
      <c r="K152">
        <v>140</v>
      </c>
      <c r="M152">
        <v>37337.44115115</v>
      </c>
      <c r="N152">
        <v>1345.23629483735</v>
      </c>
    </row>
    <row r="153" spans="2:14">
      <c r="B153">
        <v>94413</v>
      </c>
      <c r="D153">
        <v>7240</v>
      </c>
      <c r="E153" t="s">
        <v>38</v>
      </c>
      <c r="F153" t="s">
        <v>13</v>
      </c>
      <c r="G153" t="s">
        <v>249</v>
      </c>
      <c r="H153">
        <v>1300</v>
      </c>
      <c r="I153">
        <v>800</v>
      </c>
      <c r="J153">
        <v>400</v>
      </c>
      <c r="K153">
        <v>100</v>
      </c>
      <c r="M153">
        <v>259616.65427473499</v>
      </c>
      <c r="N153">
        <v>2799.1513977919799</v>
      </c>
    </row>
    <row r="154" spans="2:14">
      <c r="B154">
        <v>94408</v>
      </c>
      <c r="D154">
        <v>7240</v>
      </c>
      <c r="E154" t="s">
        <v>38</v>
      </c>
      <c r="F154" t="s">
        <v>13</v>
      </c>
      <c r="G154" t="s">
        <v>249</v>
      </c>
      <c r="H154">
        <v>1300</v>
      </c>
      <c r="I154">
        <v>800</v>
      </c>
      <c r="J154">
        <v>400</v>
      </c>
      <c r="K154">
        <v>100</v>
      </c>
      <c r="M154">
        <v>68509.042987139997</v>
      </c>
      <c r="N154">
        <v>1203.8706315279601</v>
      </c>
    </row>
    <row r="155" spans="2:14">
      <c r="B155">
        <v>94412</v>
      </c>
      <c r="D155">
        <v>7240</v>
      </c>
      <c r="E155" t="s">
        <v>38</v>
      </c>
      <c r="F155" t="s">
        <v>13</v>
      </c>
      <c r="G155" t="s">
        <v>249</v>
      </c>
      <c r="H155">
        <v>1300</v>
      </c>
      <c r="I155">
        <v>800</v>
      </c>
      <c r="J155">
        <v>400</v>
      </c>
      <c r="K155">
        <v>100</v>
      </c>
      <c r="M155">
        <v>766310.182518385</v>
      </c>
      <c r="N155">
        <v>4367.4752746816703</v>
      </c>
    </row>
    <row r="156" spans="2:14">
      <c r="B156">
        <v>94410</v>
      </c>
      <c r="D156">
        <v>7240</v>
      </c>
      <c r="E156" t="s">
        <v>38</v>
      </c>
      <c r="F156" t="s">
        <v>13</v>
      </c>
      <c r="G156" t="s">
        <v>249</v>
      </c>
      <c r="H156">
        <v>1300</v>
      </c>
      <c r="I156">
        <v>800</v>
      </c>
      <c r="J156">
        <v>400</v>
      </c>
      <c r="K156">
        <v>100</v>
      </c>
      <c r="M156">
        <v>644884.23766028497</v>
      </c>
      <c r="N156">
        <v>3214.6448017709499</v>
      </c>
    </row>
    <row r="157" spans="2:14">
      <c r="B157">
        <v>94415</v>
      </c>
      <c r="D157">
        <v>7240</v>
      </c>
      <c r="E157" t="s">
        <v>38</v>
      </c>
      <c r="F157" t="s">
        <v>13</v>
      </c>
      <c r="G157" t="s">
        <v>249</v>
      </c>
      <c r="H157">
        <v>1300</v>
      </c>
      <c r="I157">
        <v>800</v>
      </c>
      <c r="J157">
        <v>400</v>
      </c>
      <c r="K157">
        <v>100</v>
      </c>
      <c r="M157">
        <v>2289499.0451161498</v>
      </c>
      <c r="N157">
        <v>1062</v>
      </c>
    </row>
    <row r="158" spans="2:14">
      <c r="B158">
        <v>94411</v>
      </c>
      <c r="D158">
        <v>7240</v>
      </c>
      <c r="E158" t="s">
        <v>38</v>
      </c>
      <c r="F158" t="s">
        <v>13</v>
      </c>
      <c r="G158" t="s">
        <v>249</v>
      </c>
      <c r="H158">
        <v>1300</v>
      </c>
      <c r="I158">
        <v>800</v>
      </c>
      <c r="J158">
        <v>400</v>
      </c>
      <c r="K158">
        <v>100</v>
      </c>
      <c r="M158">
        <v>302471.40077612503</v>
      </c>
      <c r="N158">
        <v>3019.7712662685099</v>
      </c>
    </row>
    <row r="159" spans="2:14">
      <c r="B159">
        <v>94414</v>
      </c>
      <c r="D159">
        <v>7240</v>
      </c>
      <c r="E159" t="s">
        <v>38</v>
      </c>
      <c r="F159" t="s">
        <v>13</v>
      </c>
      <c r="G159" t="s">
        <v>249</v>
      </c>
      <c r="H159">
        <v>1300</v>
      </c>
      <c r="I159">
        <v>800</v>
      </c>
      <c r="J159">
        <v>400</v>
      </c>
      <c r="K159">
        <v>100</v>
      </c>
      <c r="M159">
        <v>100995.19351124</v>
      </c>
      <c r="N159">
        <v>1592.26119085046</v>
      </c>
    </row>
    <row r="160" spans="2:14">
      <c r="B160">
        <v>94409</v>
      </c>
      <c r="D160">
        <v>7240</v>
      </c>
      <c r="E160" t="s">
        <v>38</v>
      </c>
      <c r="F160" t="s">
        <v>13</v>
      </c>
      <c r="G160" t="s">
        <v>249</v>
      </c>
      <c r="H160">
        <v>1300</v>
      </c>
      <c r="I160">
        <v>800</v>
      </c>
      <c r="J160">
        <v>400</v>
      </c>
      <c r="K160">
        <v>100</v>
      </c>
      <c r="M160">
        <v>824245.58927295997</v>
      </c>
      <c r="N160">
        <v>4322.2014746078303</v>
      </c>
    </row>
    <row r="161" spans="2:14">
      <c r="B161">
        <v>94066</v>
      </c>
      <c r="D161">
        <v>7430</v>
      </c>
      <c r="E161" t="s">
        <v>43</v>
      </c>
      <c r="F161" t="s">
        <v>14</v>
      </c>
      <c r="G161" t="s">
        <v>249</v>
      </c>
      <c r="H161">
        <v>1500</v>
      </c>
      <c r="I161">
        <v>840</v>
      </c>
      <c r="J161">
        <v>800</v>
      </c>
      <c r="M161">
        <v>1369866</v>
      </c>
      <c r="N161">
        <v>2123</v>
      </c>
    </row>
    <row r="162" spans="2:14">
      <c r="B162">
        <v>92144</v>
      </c>
      <c r="D162">
        <v>9260</v>
      </c>
      <c r="E162" t="s">
        <v>62</v>
      </c>
      <c r="F162" t="s">
        <v>13</v>
      </c>
      <c r="G162" t="s">
        <v>249</v>
      </c>
      <c r="H162">
        <v>5000</v>
      </c>
      <c r="I162">
        <v>3500</v>
      </c>
      <c r="J162">
        <v>3340</v>
      </c>
      <c r="K162">
        <v>100</v>
      </c>
      <c r="M162">
        <v>8650884</v>
      </c>
      <c r="N162">
        <v>2294</v>
      </c>
    </row>
    <row r="163" spans="2:14">
      <c r="B163">
        <v>91182</v>
      </c>
      <c r="D163">
        <v>10102</v>
      </c>
      <c r="E163" t="s">
        <v>87</v>
      </c>
      <c r="F163" t="s">
        <v>13</v>
      </c>
      <c r="G163" t="s">
        <v>249</v>
      </c>
      <c r="H163">
        <v>475</v>
      </c>
      <c r="I163">
        <v>220</v>
      </c>
      <c r="J163">
        <v>220</v>
      </c>
      <c r="K163">
        <v>60</v>
      </c>
      <c r="M163">
        <v>2549635.1473134202</v>
      </c>
      <c r="N163">
        <v>8805.4559062543194</v>
      </c>
    </row>
    <row r="164" spans="2:14">
      <c r="B164">
        <v>94419</v>
      </c>
      <c r="D164">
        <v>7740</v>
      </c>
      <c r="E164" t="s">
        <v>65</v>
      </c>
      <c r="F164" t="s">
        <v>13</v>
      </c>
      <c r="G164" t="s">
        <v>249</v>
      </c>
      <c r="H164">
        <v>2000</v>
      </c>
      <c r="I164">
        <v>1120</v>
      </c>
      <c r="J164">
        <v>1120</v>
      </c>
      <c r="K164">
        <v>120</v>
      </c>
      <c r="M164">
        <v>2391985.7453413699</v>
      </c>
      <c r="N164">
        <v>8716.1552082694798</v>
      </c>
    </row>
    <row r="165" spans="2:14">
      <c r="B165">
        <v>94424</v>
      </c>
      <c r="D165">
        <v>7740</v>
      </c>
      <c r="E165" t="s">
        <v>65</v>
      </c>
      <c r="F165" t="s">
        <v>13</v>
      </c>
      <c r="G165" t="s">
        <v>249</v>
      </c>
      <c r="H165">
        <v>2000</v>
      </c>
      <c r="I165">
        <v>1120</v>
      </c>
      <c r="J165">
        <v>1120</v>
      </c>
      <c r="K165">
        <v>120</v>
      </c>
      <c r="M165">
        <v>648619.85433025996</v>
      </c>
      <c r="N165">
        <v>4253.9729578204597</v>
      </c>
    </row>
    <row r="166" spans="2:14">
      <c r="B166">
        <v>94417</v>
      </c>
      <c r="D166">
        <v>7740</v>
      </c>
      <c r="E166" t="s">
        <v>65</v>
      </c>
      <c r="F166" t="s">
        <v>13</v>
      </c>
      <c r="G166" t="s">
        <v>249</v>
      </c>
      <c r="H166">
        <v>2000</v>
      </c>
      <c r="I166">
        <v>1120</v>
      </c>
      <c r="J166">
        <v>1120</v>
      </c>
      <c r="K166">
        <v>120</v>
      </c>
      <c r="M166">
        <v>1162036.90245486</v>
      </c>
      <c r="N166">
        <v>6396.5853297224103</v>
      </c>
    </row>
    <row r="167" spans="2:14">
      <c r="B167">
        <v>94422</v>
      </c>
      <c r="D167">
        <v>7740</v>
      </c>
      <c r="E167" t="s">
        <v>65</v>
      </c>
      <c r="F167" t="s">
        <v>13</v>
      </c>
      <c r="G167" t="s">
        <v>249</v>
      </c>
      <c r="H167">
        <v>2000</v>
      </c>
      <c r="I167">
        <v>1120</v>
      </c>
      <c r="J167">
        <v>1120</v>
      </c>
      <c r="K167">
        <v>120</v>
      </c>
      <c r="M167">
        <v>970873.60720160999</v>
      </c>
      <c r="N167">
        <v>4208.1733898170896</v>
      </c>
    </row>
    <row r="168" spans="2:14">
      <c r="B168">
        <v>94421</v>
      </c>
      <c r="D168">
        <v>7740</v>
      </c>
      <c r="E168" t="s">
        <v>65</v>
      </c>
      <c r="F168" t="s">
        <v>13</v>
      </c>
      <c r="G168" t="s">
        <v>249</v>
      </c>
      <c r="H168">
        <v>2000</v>
      </c>
      <c r="I168">
        <v>1120</v>
      </c>
      <c r="J168">
        <v>1120</v>
      </c>
      <c r="K168">
        <v>120</v>
      </c>
      <c r="M168">
        <v>836668.09028865001</v>
      </c>
      <c r="N168">
        <v>4105.8494454599404</v>
      </c>
    </row>
    <row r="169" spans="2:14">
      <c r="B169">
        <v>94425</v>
      </c>
      <c r="D169">
        <v>7740</v>
      </c>
      <c r="E169" t="s">
        <v>65</v>
      </c>
      <c r="F169" t="s">
        <v>13</v>
      </c>
      <c r="G169" t="s">
        <v>249</v>
      </c>
      <c r="H169">
        <v>2000</v>
      </c>
      <c r="I169">
        <v>1120</v>
      </c>
      <c r="J169">
        <v>1120</v>
      </c>
      <c r="K169">
        <v>120</v>
      </c>
      <c r="M169">
        <v>585401.76306389505</v>
      </c>
      <c r="N169">
        <v>3212.48568705048</v>
      </c>
    </row>
    <row r="170" spans="2:14">
      <c r="B170">
        <v>94423</v>
      </c>
      <c r="D170">
        <v>7740</v>
      </c>
      <c r="E170" t="s">
        <v>65</v>
      </c>
      <c r="F170" t="s">
        <v>13</v>
      </c>
      <c r="G170" t="s">
        <v>249</v>
      </c>
      <c r="H170">
        <v>2000</v>
      </c>
      <c r="I170">
        <v>1120</v>
      </c>
      <c r="J170">
        <v>1120</v>
      </c>
      <c r="K170">
        <v>120</v>
      </c>
      <c r="M170">
        <v>509433.83738093497</v>
      </c>
      <c r="N170">
        <v>2961.0561159528102</v>
      </c>
    </row>
    <row r="171" spans="2:14">
      <c r="B171">
        <v>94418</v>
      </c>
      <c r="D171">
        <v>7740</v>
      </c>
      <c r="E171" t="s">
        <v>65</v>
      </c>
      <c r="F171" t="s">
        <v>13</v>
      </c>
      <c r="G171" t="s">
        <v>249</v>
      </c>
      <c r="H171">
        <v>2000</v>
      </c>
      <c r="I171">
        <v>1120</v>
      </c>
      <c r="J171">
        <v>1120</v>
      </c>
      <c r="K171">
        <v>120</v>
      </c>
      <c r="M171">
        <v>408937.793776265</v>
      </c>
      <c r="N171">
        <v>3070.8131105807201</v>
      </c>
    </row>
    <row r="172" spans="2:14">
      <c r="B172">
        <v>94420</v>
      </c>
      <c r="D172">
        <v>7740</v>
      </c>
      <c r="E172" t="s">
        <v>65</v>
      </c>
      <c r="F172" t="s">
        <v>13</v>
      </c>
      <c r="G172" t="s">
        <v>249</v>
      </c>
      <c r="H172">
        <v>2000</v>
      </c>
      <c r="I172">
        <v>1120</v>
      </c>
      <c r="J172">
        <v>1120</v>
      </c>
      <c r="K172">
        <v>120</v>
      </c>
      <c r="M172">
        <v>830675.23861318501</v>
      </c>
      <c r="N172">
        <v>3887.0947146226499</v>
      </c>
    </row>
    <row r="173" spans="2:14">
      <c r="B173">
        <v>94416</v>
      </c>
      <c r="D173">
        <v>7740</v>
      </c>
      <c r="E173" t="s">
        <v>65</v>
      </c>
      <c r="F173" t="s">
        <v>13</v>
      </c>
      <c r="G173" t="s">
        <v>249</v>
      </c>
      <c r="H173">
        <v>2000</v>
      </c>
      <c r="I173">
        <v>1120</v>
      </c>
      <c r="J173">
        <v>1120</v>
      </c>
      <c r="K173">
        <v>120</v>
      </c>
      <c r="M173">
        <v>623158.80695909495</v>
      </c>
      <c r="N173">
        <v>3607.7933970623699</v>
      </c>
    </row>
    <row r="174" spans="2:14">
      <c r="B174">
        <v>91180</v>
      </c>
      <c r="D174">
        <v>8581</v>
      </c>
      <c r="E174" t="s">
        <v>90</v>
      </c>
      <c r="F174" t="s">
        <v>13</v>
      </c>
      <c r="G174" t="s">
        <v>249</v>
      </c>
      <c r="H174">
        <v>500</v>
      </c>
      <c r="I174">
        <v>200</v>
      </c>
      <c r="J174">
        <v>200</v>
      </c>
      <c r="K174">
        <v>60</v>
      </c>
      <c r="M174">
        <v>2905567.71438235</v>
      </c>
      <c r="N174">
        <v>1133</v>
      </c>
    </row>
    <row r="175" spans="2:14">
      <c r="B175">
        <v>93418</v>
      </c>
      <c r="D175">
        <v>7735</v>
      </c>
      <c r="E175" t="s">
        <v>64</v>
      </c>
      <c r="F175" t="s">
        <v>13</v>
      </c>
      <c r="G175" t="s">
        <v>249</v>
      </c>
      <c r="H175">
        <v>1300</v>
      </c>
      <c r="I175">
        <v>720</v>
      </c>
      <c r="J175">
        <v>500</v>
      </c>
      <c r="K175">
        <v>100</v>
      </c>
      <c r="L175" t="s">
        <v>259</v>
      </c>
      <c r="M175">
        <v>1074959.2940551999</v>
      </c>
      <c r="N175">
        <v>4185.8465405624502</v>
      </c>
    </row>
    <row r="176" spans="2:14">
      <c r="B176">
        <v>93419</v>
      </c>
      <c r="D176">
        <v>7735</v>
      </c>
      <c r="E176" t="s">
        <v>64</v>
      </c>
      <c r="F176" t="s">
        <v>13</v>
      </c>
      <c r="G176" t="s">
        <v>249</v>
      </c>
      <c r="H176">
        <v>1300</v>
      </c>
      <c r="I176">
        <v>720</v>
      </c>
      <c r="J176">
        <v>500</v>
      </c>
      <c r="K176">
        <v>100</v>
      </c>
      <c r="L176" t="s">
        <v>259</v>
      </c>
      <c r="M176">
        <v>665285.97257459001</v>
      </c>
      <c r="N176">
        <v>3335.4648874653799</v>
      </c>
    </row>
    <row r="177" spans="2:14">
      <c r="B177">
        <v>93422</v>
      </c>
      <c r="D177">
        <v>7735</v>
      </c>
      <c r="E177" t="s">
        <v>64</v>
      </c>
      <c r="F177" t="s">
        <v>13</v>
      </c>
      <c r="G177" t="s">
        <v>249</v>
      </c>
      <c r="H177">
        <v>1300</v>
      </c>
      <c r="I177">
        <v>720</v>
      </c>
      <c r="J177">
        <v>500</v>
      </c>
      <c r="K177">
        <v>100</v>
      </c>
      <c r="L177" t="s">
        <v>259</v>
      </c>
      <c r="M177">
        <v>255687.23056749001</v>
      </c>
      <c r="N177">
        <v>3382.9650933937201</v>
      </c>
    </row>
    <row r="178" spans="2:14">
      <c r="B178">
        <v>93421</v>
      </c>
      <c r="D178">
        <v>7735</v>
      </c>
      <c r="E178" t="s">
        <v>64</v>
      </c>
      <c r="F178" t="s">
        <v>13</v>
      </c>
      <c r="G178" t="s">
        <v>249</v>
      </c>
      <c r="H178">
        <v>1300</v>
      </c>
      <c r="I178">
        <v>720</v>
      </c>
      <c r="J178">
        <v>500</v>
      </c>
      <c r="K178">
        <v>100</v>
      </c>
      <c r="L178" t="s">
        <v>259</v>
      </c>
      <c r="M178">
        <v>543043.20151831</v>
      </c>
      <c r="N178">
        <v>4447.9701593939299</v>
      </c>
    </row>
    <row r="179" spans="2:14">
      <c r="B179">
        <v>138218</v>
      </c>
      <c r="D179">
        <v>10389</v>
      </c>
      <c r="E179" t="s">
        <v>70</v>
      </c>
      <c r="F179" t="s">
        <v>13</v>
      </c>
      <c r="G179" t="s">
        <v>249</v>
      </c>
      <c r="H179">
        <v>120</v>
      </c>
      <c r="J179">
        <v>100</v>
      </c>
      <c r="K179">
        <v>20</v>
      </c>
      <c r="L179" t="s">
        <v>260</v>
      </c>
      <c r="M179">
        <v>572841.43814671005</v>
      </c>
      <c r="N179">
        <v>4403.4974407661102</v>
      </c>
    </row>
    <row r="180" spans="2:14">
      <c r="B180">
        <v>138218</v>
      </c>
      <c r="D180">
        <v>10389</v>
      </c>
      <c r="E180" t="s">
        <v>70</v>
      </c>
      <c r="F180" t="s">
        <v>13</v>
      </c>
      <c r="G180" t="s">
        <v>249</v>
      </c>
      <c r="H180">
        <v>200</v>
      </c>
      <c r="J180">
        <v>120</v>
      </c>
      <c r="K180">
        <v>40</v>
      </c>
      <c r="L180" t="s">
        <v>261</v>
      </c>
      <c r="M180">
        <v>572841.43814671005</v>
      </c>
      <c r="N180">
        <v>4403.4974407661102</v>
      </c>
    </row>
    <row r="181" spans="2:14">
      <c r="B181">
        <v>95352</v>
      </c>
      <c r="D181">
        <v>9075</v>
      </c>
      <c r="E181" t="s">
        <v>84</v>
      </c>
      <c r="F181" t="s">
        <v>13</v>
      </c>
      <c r="G181" t="s">
        <v>249</v>
      </c>
      <c r="H181">
        <v>3600</v>
      </c>
      <c r="J181">
        <v>11000</v>
      </c>
      <c r="K181">
        <v>200</v>
      </c>
      <c r="L181" t="s">
        <v>265</v>
      </c>
      <c r="M181">
        <v>1205996</v>
      </c>
      <c r="N181">
        <v>2709</v>
      </c>
    </row>
    <row r="182" spans="2:14">
      <c r="B182">
        <v>89906</v>
      </c>
      <c r="D182">
        <v>7710</v>
      </c>
      <c r="E182" t="s">
        <v>40</v>
      </c>
      <c r="F182" t="s">
        <v>13</v>
      </c>
      <c r="G182" t="s">
        <v>249</v>
      </c>
      <c r="H182">
        <v>750</v>
      </c>
      <c r="I182">
        <v>440</v>
      </c>
      <c r="J182">
        <v>420</v>
      </c>
      <c r="K182">
        <v>40</v>
      </c>
      <c r="L182" t="s">
        <v>251</v>
      </c>
      <c r="M182">
        <v>163771.90984512499</v>
      </c>
      <c r="N182">
        <v>1620.8627323363401</v>
      </c>
    </row>
    <row r="183" spans="2:14">
      <c r="B183">
        <v>89907</v>
      </c>
      <c r="D183">
        <v>7710</v>
      </c>
      <c r="E183" t="s">
        <v>40</v>
      </c>
      <c r="F183" t="s">
        <v>13</v>
      </c>
      <c r="G183" t="s">
        <v>249</v>
      </c>
      <c r="H183">
        <v>750</v>
      </c>
      <c r="I183">
        <v>440</v>
      </c>
      <c r="J183">
        <v>420</v>
      </c>
      <c r="K183">
        <v>40</v>
      </c>
      <c r="L183" t="s">
        <v>251</v>
      </c>
      <c r="M183">
        <v>173564.10653573001</v>
      </c>
      <c r="N183">
        <v>1670.93600563419</v>
      </c>
    </row>
    <row r="184" spans="2:14">
      <c r="B184">
        <v>89913</v>
      </c>
      <c r="D184">
        <v>7710</v>
      </c>
      <c r="E184" t="s">
        <v>40</v>
      </c>
      <c r="F184" t="s">
        <v>13</v>
      </c>
      <c r="G184" t="s">
        <v>249</v>
      </c>
      <c r="H184">
        <v>750</v>
      </c>
      <c r="I184">
        <v>440</v>
      </c>
      <c r="J184">
        <v>420</v>
      </c>
      <c r="K184">
        <v>40</v>
      </c>
      <c r="L184" t="s">
        <v>251</v>
      </c>
      <c r="M184">
        <v>204655.56066283499</v>
      </c>
      <c r="N184">
        <v>1856.8805087635101</v>
      </c>
    </row>
    <row r="185" spans="2:14">
      <c r="B185">
        <v>90220</v>
      </c>
      <c r="D185">
        <v>7710</v>
      </c>
      <c r="E185" t="s">
        <v>40</v>
      </c>
      <c r="F185" t="s">
        <v>13</v>
      </c>
      <c r="G185" t="s">
        <v>249</v>
      </c>
      <c r="H185">
        <v>750</v>
      </c>
      <c r="I185">
        <v>440</v>
      </c>
      <c r="J185">
        <v>420</v>
      </c>
      <c r="K185">
        <v>40</v>
      </c>
      <c r="L185" t="s">
        <v>251</v>
      </c>
      <c r="M185">
        <v>1420072.06350404</v>
      </c>
      <c r="N185">
        <v>9744.9006893269707</v>
      </c>
    </row>
    <row r="186" spans="2:14">
      <c r="B186">
        <v>89908</v>
      </c>
      <c r="D186">
        <v>7710</v>
      </c>
      <c r="E186" t="s">
        <v>40</v>
      </c>
      <c r="F186" t="s">
        <v>13</v>
      </c>
      <c r="G186" t="s">
        <v>249</v>
      </c>
      <c r="H186">
        <v>750</v>
      </c>
      <c r="I186">
        <v>440</v>
      </c>
      <c r="J186">
        <v>420</v>
      </c>
      <c r="K186">
        <v>40</v>
      </c>
      <c r="L186" t="s">
        <v>251</v>
      </c>
      <c r="M186">
        <v>478115.874330875</v>
      </c>
      <c r="N186">
        <v>3883.3518817641202</v>
      </c>
    </row>
    <row r="187" spans="2:14">
      <c r="B187">
        <v>89905</v>
      </c>
      <c r="D187">
        <v>7710</v>
      </c>
      <c r="E187" t="s">
        <v>40</v>
      </c>
      <c r="F187" t="s">
        <v>13</v>
      </c>
      <c r="G187" t="s">
        <v>249</v>
      </c>
      <c r="H187">
        <v>750</v>
      </c>
      <c r="I187">
        <v>440</v>
      </c>
      <c r="J187">
        <v>420</v>
      </c>
      <c r="K187">
        <v>40</v>
      </c>
      <c r="L187" t="s">
        <v>251</v>
      </c>
      <c r="M187">
        <v>475683.22828820499</v>
      </c>
      <c r="N187">
        <v>4948.6646886741401</v>
      </c>
    </row>
    <row r="188" spans="2:14">
      <c r="B188">
        <v>90221</v>
      </c>
      <c r="D188">
        <v>7710</v>
      </c>
      <c r="E188" t="s">
        <v>40</v>
      </c>
      <c r="F188" t="s">
        <v>13</v>
      </c>
      <c r="G188" t="s">
        <v>249</v>
      </c>
      <c r="H188">
        <v>750</v>
      </c>
      <c r="I188">
        <v>440</v>
      </c>
      <c r="J188">
        <v>420</v>
      </c>
      <c r="K188">
        <v>40</v>
      </c>
      <c r="L188" t="s">
        <v>251</v>
      </c>
      <c r="M188">
        <v>351631.38672653498</v>
      </c>
      <c r="N188">
        <v>6498.7500005996799</v>
      </c>
    </row>
    <row r="189" spans="2:14">
      <c r="B189">
        <v>89911</v>
      </c>
      <c r="D189">
        <v>7710</v>
      </c>
      <c r="E189" t="s">
        <v>40</v>
      </c>
      <c r="F189" t="s">
        <v>13</v>
      </c>
      <c r="G189" t="s">
        <v>249</v>
      </c>
      <c r="H189">
        <v>750</v>
      </c>
      <c r="I189">
        <v>440</v>
      </c>
      <c r="J189">
        <v>420</v>
      </c>
      <c r="K189">
        <v>40</v>
      </c>
      <c r="L189" t="s">
        <v>251</v>
      </c>
      <c r="M189">
        <v>902879.41539624997</v>
      </c>
      <c r="N189">
        <v>6196.4400548368103</v>
      </c>
    </row>
    <row r="190" spans="2:14">
      <c r="B190">
        <v>89909</v>
      </c>
      <c r="D190">
        <v>7710</v>
      </c>
      <c r="E190" t="s">
        <v>40</v>
      </c>
      <c r="F190" t="s">
        <v>13</v>
      </c>
      <c r="G190" t="s">
        <v>249</v>
      </c>
      <c r="H190">
        <v>750</v>
      </c>
      <c r="I190">
        <v>440</v>
      </c>
      <c r="J190">
        <v>420</v>
      </c>
      <c r="K190">
        <v>40</v>
      </c>
      <c r="L190" t="s">
        <v>251</v>
      </c>
      <c r="M190">
        <v>403343.58576268499</v>
      </c>
      <c r="N190">
        <v>2655.36453756213</v>
      </c>
    </row>
    <row r="191" spans="2:14">
      <c r="B191">
        <v>90218</v>
      </c>
      <c r="D191">
        <v>7710</v>
      </c>
      <c r="E191" t="s">
        <v>40</v>
      </c>
      <c r="F191" t="s">
        <v>13</v>
      </c>
      <c r="G191" t="s">
        <v>249</v>
      </c>
      <c r="H191">
        <v>750</v>
      </c>
      <c r="I191">
        <v>440</v>
      </c>
      <c r="J191">
        <v>420</v>
      </c>
      <c r="K191">
        <v>40</v>
      </c>
      <c r="L191" t="s">
        <v>251</v>
      </c>
      <c r="M191">
        <v>1847768.79735349</v>
      </c>
      <c r="N191">
        <v>8955.2744373762507</v>
      </c>
    </row>
    <row r="192" spans="2:14">
      <c r="B192">
        <v>153580</v>
      </c>
      <c r="D192">
        <v>7620</v>
      </c>
      <c r="E192" t="s">
        <v>55</v>
      </c>
      <c r="F192" t="s">
        <v>13</v>
      </c>
      <c r="G192" t="s">
        <v>249</v>
      </c>
      <c r="H192">
        <v>215</v>
      </c>
      <c r="I192">
        <v>220</v>
      </c>
      <c r="J192">
        <v>220</v>
      </c>
      <c r="K192">
        <v>30</v>
      </c>
      <c r="L192" t="s">
        <v>257</v>
      </c>
      <c r="M192">
        <v>883540.83642353001</v>
      </c>
      <c r="N192">
        <v>5807.1922082571</v>
      </c>
    </row>
    <row r="193" spans="2:14">
      <c r="B193">
        <v>89902</v>
      </c>
      <c r="D193">
        <v>7620</v>
      </c>
      <c r="E193" t="s">
        <v>55</v>
      </c>
      <c r="F193" t="s">
        <v>13</v>
      </c>
      <c r="G193" t="s">
        <v>249</v>
      </c>
      <c r="H193">
        <v>215</v>
      </c>
      <c r="I193">
        <v>220</v>
      </c>
      <c r="J193">
        <v>220</v>
      </c>
      <c r="K193">
        <v>30</v>
      </c>
      <c r="L193" t="s">
        <v>257</v>
      </c>
      <c r="M193">
        <v>892434.89310818003</v>
      </c>
      <c r="N193">
        <v>5864.8159341022802</v>
      </c>
    </row>
    <row r="194" spans="2:14">
      <c r="B194">
        <v>153578</v>
      </c>
      <c r="D194">
        <v>7520</v>
      </c>
      <c r="E194" t="s">
        <v>49</v>
      </c>
      <c r="F194" t="s">
        <v>13</v>
      </c>
      <c r="G194" t="s">
        <v>249</v>
      </c>
      <c r="H194">
        <v>200</v>
      </c>
      <c r="I194">
        <v>40</v>
      </c>
      <c r="J194">
        <v>40</v>
      </c>
      <c r="K194">
        <v>40</v>
      </c>
      <c r="L194" t="s">
        <v>252</v>
      </c>
      <c r="M194">
        <v>144525.51317463999</v>
      </c>
      <c r="N194">
        <v>1619.84715302583</v>
      </c>
    </row>
    <row r="195" spans="2:14">
      <c r="B195">
        <v>153579</v>
      </c>
      <c r="D195">
        <v>7520</v>
      </c>
      <c r="E195" t="s">
        <v>49</v>
      </c>
      <c r="F195" t="s">
        <v>13</v>
      </c>
      <c r="G195" t="s">
        <v>249</v>
      </c>
      <c r="H195">
        <v>200</v>
      </c>
      <c r="I195">
        <v>40</v>
      </c>
      <c r="J195">
        <v>40</v>
      </c>
      <c r="K195">
        <v>40</v>
      </c>
      <c r="L195" t="s">
        <v>252</v>
      </c>
      <c r="M195">
        <v>1056158.7430897099</v>
      </c>
      <c r="N195">
        <v>4266.1710088049203</v>
      </c>
    </row>
    <row r="196" spans="2:14">
      <c r="B196">
        <v>96619</v>
      </c>
      <c r="D196">
        <v>7534</v>
      </c>
      <c r="E196" t="s">
        <v>50</v>
      </c>
      <c r="F196" t="s">
        <v>13</v>
      </c>
      <c r="G196" t="s">
        <v>249</v>
      </c>
      <c r="H196">
        <v>300</v>
      </c>
      <c r="J196">
        <v>160</v>
      </c>
      <c r="K196">
        <v>40</v>
      </c>
      <c r="L196" t="s">
        <v>253</v>
      </c>
      <c r="M196">
        <v>2720296.6550504901</v>
      </c>
      <c r="N196">
        <v>1312</v>
      </c>
    </row>
    <row r="197" spans="2:14">
      <c r="B197">
        <v>96619</v>
      </c>
      <c r="D197">
        <v>7534</v>
      </c>
      <c r="E197" t="s">
        <v>50</v>
      </c>
      <c r="F197" t="s">
        <v>13</v>
      </c>
      <c r="G197" t="s">
        <v>249</v>
      </c>
      <c r="H197">
        <v>1200</v>
      </c>
      <c r="J197">
        <v>610</v>
      </c>
      <c r="K197">
        <v>140</v>
      </c>
      <c r="L197" t="s">
        <v>254</v>
      </c>
      <c r="M197">
        <v>2720296.6550504901</v>
      </c>
      <c r="N197">
        <v>1312</v>
      </c>
    </row>
    <row r="198" spans="2:14">
      <c r="B198">
        <v>96625</v>
      </c>
      <c r="D198">
        <v>7534</v>
      </c>
      <c r="E198" t="s">
        <v>50</v>
      </c>
      <c r="F198" t="s">
        <v>13</v>
      </c>
      <c r="G198" t="s">
        <v>249</v>
      </c>
      <c r="H198">
        <v>300</v>
      </c>
      <c r="J198">
        <v>160</v>
      </c>
      <c r="K198">
        <v>40</v>
      </c>
      <c r="L198" t="s">
        <v>253</v>
      </c>
      <c r="M198">
        <v>710119.41709284997</v>
      </c>
      <c r="N198">
        <v>3860.9446153685499</v>
      </c>
    </row>
    <row r="199" spans="2:14">
      <c r="B199">
        <v>96625</v>
      </c>
      <c r="D199">
        <v>7534</v>
      </c>
      <c r="E199" t="s">
        <v>50</v>
      </c>
      <c r="F199" t="s">
        <v>13</v>
      </c>
      <c r="G199" t="s">
        <v>249</v>
      </c>
      <c r="H199">
        <v>1200</v>
      </c>
      <c r="J199">
        <v>610</v>
      </c>
      <c r="K199">
        <v>140</v>
      </c>
      <c r="L199" t="s">
        <v>254</v>
      </c>
      <c r="M199">
        <v>710119.41709284997</v>
      </c>
      <c r="N199">
        <v>3860.9446153685499</v>
      </c>
    </row>
    <row r="200" spans="2:14">
      <c r="B200">
        <v>96622</v>
      </c>
      <c r="D200">
        <v>7534</v>
      </c>
      <c r="E200" t="s">
        <v>50</v>
      </c>
      <c r="F200" t="s">
        <v>13</v>
      </c>
      <c r="G200" t="s">
        <v>249</v>
      </c>
      <c r="H200">
        <v>300</v>
      </c>
      <c r="J200">
        <v>160</v>
      </c>
      <c r="K200">
        <v>40</v>
      </c>
      <c r="L200" t="s">
        <v>253</v>
      </c>
      <c r="M200">
        <v>3223527.6683243699</v>
      </c>
      <c r="N200">
        <v>1369</v>
      </c>
    </row>
    <row r="201" spans="2:14">
      <c r="B201">
        <v>96622</v>
      </c>
      <c r="D201">
        <v>7534</v>
      </c>
      <c r="E201" t="s">
        <v>50</v>
      </c>
      <c r="F201" t="s">
        <v>13</v>
      </c>
      <c r="G201" t="s">
        <v>249</v>
      </c>
      <c r="H201">
        <v>1200</v>
      </c>
      <c r="J201">
        <v>610</v>
      </c>
      <c r="K201">
        <v>140</v>
      </c>
      <c r="L201" t="s">
        <v>254</v>
      </c>
      <c r="M201">
        <v>3223527.6683243699</v>
      </c>
      <c r="N201">
        <v>1369</v>
      </c>
    </row>
    <row r="202" spans="2:14">
      <c r="B202">
        <v>112618</v>
      </c>
      <c r="D202">
        <v>7534</v>
      </c>
      <c r="E202" t="s">
        <v>50</v>
      </c>
      <c r="F202" t="s">
        <v>13</v>
      </c>
      <c r="G202" t="s">
        <v>249</v>
      </c>
      <c r="H202">
        <v>300</v>
      </c>
      <c r="J202">
        <v>160</v>
      </c>
      <c r="K202">
        <v>40</v>
      </c>
      <c r="L202" t="s">
        <v>253</v>
      </c>
      <c r="M202">
        <v>1633986.23824408</v>
      </c>
      <c r="N202">
        <v>7538.3924466545204</v>
      </c>
    </row>
    <row r="203" spans="2:14">
      <c r="B203">
        <v>112618</v>
      </c>
      <c r="D203">
        <v>7534</v>
      </c>
      <c r="E203" t="s">
        <v>50</v>
      </c>
      <c r="F203" t="s">
        <v>13</v>
      </c>
      <c r="G203" t="s">
        <v>249</v>
      </c>
      <c r="H203">
        <v>1200</v>
      </c>
      <c r="J203">
        <v>610</v>
      </c>
      <c r="K203">
        <v>140</v>
      </c>
      <c r="L203" t="s">
        <v>254</v>
      </c>
      <c r="M203">
        <v>1633986.23824408</v>
      </c>
      <c r="N203">
        <v>7538.3924466545204</v>
      </c>
    </row>
    <row r="204" spans="2:14">
      <c r="B204">
        <v>96626</v>
      </c>
      <c r="D204">
        <v>7534</v>
      </c>
      <c r="E204" t="s">
        <v>50</v>
      </c>
      <c r="F204" t="s">
        <v>13</v>
      </c>
      <c r="G204" t="s">
        <v>249</v>
      </c>
      <c r="H204">
        <v>300</v>
      </c>
      <c r="J204">
        <v>160</v>
      </c>
      <c r="K204">
        <v>40</v>
      </c>
      <c r="L204" t="s">
        <v>253</v>
      </c>
      <c r="M204">
        <v>949680.14779487997</v>
      </c>
      <c r="N204">
        <v>6087.2297779106302</v>
      </c>
    </row>
    <row r="205" spans="2:14">
      <c r="B205">
        <v>96626</v>
      </c>
      <c r="D205">
        <v>7534</v>
      </c>
      <c r="E205" t="s">
        <v>50</v>
      </c>
      <c r="F205" t="s">
        <v>13</v>
      </c>
      <c r="G205" t="s">
        <v>249</v>
      </c>
      <c r="H205">
        <v>1200</v>
      </c>
      <c r="J205">
        <v>610</v>
      </c>
      <c r="K205">
        <v>140</v>
      </c>
      <c r="L205" t="s">
        <v>254</v>
      </c>
      <c r="M205">
        <v>949680.14779487997</v>
      </c>
      <c r="N205">
        <v>6087.2297779106302</v>
      </c>
    </row>
    <row r="206" spans="2:14">
      <c r="B206">
        <v>90226</v>
      </c>
      <c r="D206">
        <v>10305</v>
      </c>
      <c r="E206" t="s">
        <v>70</v>
      </c>
      <c r="F206" t="s">
        <v>14</v>
      </c>
      <c r="G206" t="s">
        <v>249</v>
      </c>
      <c r="H206">
        <v>2000</v>
      </c>
      <c r="I206">
        <v>1120</v>
      </c>
      <c r="J206">
        <v>1550</v>
      </c>
      <c r="K206">
        <v>140</v>
      </c>
      <c r="L206" t="s">
        <v>236</v>
      </c>
      <c r="M206">
        <v>1099554.10819435</v>
      </c>
      <c r="N206">
        <v>4658.6966506121298</v>
      </c>
    </row>
    <row r="207" spans="2:14">
      <c r="B207">
        <v>90227</v>
      </c>
      <c r="D207">
        <v>10305</v>
      </c>
      <c r="E207" t="s">
        <v>70</v>
      </c>
      <c r="F207" t="s">
        <v>14</v>
      </c>
      <c r="G207" t="s">
        <v>249</v>
      </c>
      <c r="H207">
        <v>2000</v>
      </c>
      <c r="I207">
        <v>1120</v>
      </c>
      <c r="J207">
        <v>1550</v>
      </c>
      <c r="K207">
        <v>140</v>
      </c>
      <c r="L207" t="s">
        <v>236</v>
      </c>
      <c r="M207">
        <v>434792.85164864</v>
      </c>
      <c r="N207">
        <v>3042.8429909974502</v>
      </c>
    </row>
    <row r="208" spans="2:14">
      <c r="B208">
        <v>90228</v>
      </c>
      <c r="D208">
        <v>10305</v>
      </c>
      <c r="E208" t="s">
        <v>70</v>
      </c>
      <c r="F208" t="s">
        <v>14</v>
      </c>
      <c r="G208" t="s">
        <v>249</v>
      </c>
      <c r="H208">
        <v>2000</v>
      </c>
      <c r="I208">
        <v>1120</v>
      </c>
      <c r="J208">
        <v>1550</v>
      </c>
      <c r="K208">
        <v>140</v>
      </c>
      <c r="L208" t="s">
        <v>236</v>
      </c>
      <c r="M208">
        <v>4625905.5677722199</v>
      </c>
      <c r="N208">
        <v>9219.0544174587194</v>
      </c>
    </row>
    <row r="209" spans="2:14">
      <c r="B209">
        <v>91827</v>
      </c>
      <c r="D209">
        <v>7670</v>
      </c>
      <c r="E209" t="s">
        <v>59</v>
      </c>
      <c r="F209" t="s">
        <v>13</v>
      </c>
      <c r="G209" t="s">
        <v>249</v>
      </c>
      <c r="H209">
        <v>1100</v>
      </c>
      <c r="J209">
        <v>1000</v>
      </c>
      <c r="K209">
        <v>120</v>
      </c>
      <c r="L209" t="s">
        <v>365</v>
      </c>
      <c r="M209">
        <v>1053250</v>
      </c>
      <c r="N209">
        <v>2747</v>
      </c>
    </row>
    <row r="210" spans="2:14">
      <c r="B210">
        <v>96628</v>
      </c>
      <c r="D210">
        <v>7535</v>
      </c>
      <c r="E210" t="s">
        <v>50</v>
      </c>
      <c r="F210" t="s">
        <v>14</v>
      </c>
      <c r="G210" t="s">
        <v>249</v>
      </c>
      <c r="H210">
        <v>398</v>
      </c>
      <c r="J210">
        <v>180</v>
      </c>
      <c r="K210">
        <v>40</v>
      </c>
      <c r="L210" t="s">
        <v>255</v>
      </c>
      <c r="M210">
        <v>959274.91538170504</v>
      </c>
      <c r="N210">
        <v>6089.7284811811996</v>
      </c>
    </row>
    <row r="211" spans="2:14">
      <c r="B211">
        <v>96621</v>
      </c>
      <c r="D211">
        <v>7535</v>
      </c>
      <c r="E211" t="s">
        <v>50</v>
      </c>
      <c r="F211" t="s">
        <v>14</v>
      </c>
      <c r="G211" t="s">
        <v>249</v>
      </c>
      <c r="H211">
        <v>398</v>
      </c>
      <c r="J211">
        <v>180</v>
      </c>
      <c r="K211">
        <v>40</v>
      </c>
      <c r="L211" t="s">
        <v>255</v>
      </c>
      <c r="M211">
        <v>638629.480224445</v>
      </c>
      <c r="N211">
        <v>4096.2485774118404</v>
      </c>
    </row>
    <row r="212" spans="2:14">
      <c r="B212">
        <v>92780</v>
      </c>
      <c r="D212">
        <v>7535</v>
      </c>
      <c r="E212" t="s">
        <v>50</v>
      </c>
      <c r="F212" t="s">
        <v>14</v>
      </c>
      <c r="G212" t="s">
        <v>249</v>
      </c>
      <c r="H212">
        <v>398</v>
      </c>
      <c r="J212">
        <v>180</v>
      </c>
      <c r="K212">
        <v>40</v>
      </c>
      <c r="L212" t="s">
        <v>255</v>
      </c>
      <c r="M212">
        <v>1541440.84844923</v>
      </c>
      <c r="N212">
        <v>5731.68398206661</v>
      </c>
    </row>
    <row r="213" spans="2:14">
      <c r="B213">
        <v>153581</v>
      </c>
      <c r="D213">
        <v>10217</v>
      </c>
      <c r="E213" t="s">
        <v>92</v>
      </c>
      <c r="F213" t="s">
        <v>13</v>
      </c>
      <c r="G213" t="s">
        <v>249</v>
      </c>
      <c r="H213">
        <v>70</v>
      </c>
      <c r="I213">
        <v>60</v>
      </c>
      <c r="J213">
        <v>60</v>
      </c>
      <c r="K213">
        <v>60</v>
      </c>
      <c r="L213" t="s">
        <v>266</v>
      </c>
      <c r="M213">
        <v>286745.67491159</v>
      </c>
      <c r="N213">
        <v>2427.6987015280101</v>
      </c>
    </row>
    <row r="214" spans="2:14">
      <c r="B214">
        <v>91822</v>
      </c>
      <c r="D214">
        <v>7030</v>
      </c>
      <c r="E214" t="s">
        <v>33</v>
      </c>
      <c r="F214" t="s">
        <v>13</v>
      </c>
      <c r="G214" t="s">
        <v>249</v>
      </c>
      <c r="H214">
        <v>900</v>
      </c>
      <c r="J214">
        <v>800</v>
      </c>
      <c r="K214">
        <v>100</v>
      </c>
      <c r="L214" t="s">
        <v>365</v>
      </c>
      <c r="M214">
        <v>3786286.5905817901</v>
      </c>
      <c r="N214">
        <v>1138</v>
      </c>
    </row>
    <row r="215" spans="2:14">
      <c r="B215">
        <v>156795</v>
      </c>
      <c r="D215">
        <v>8650</v>
      </c>
      <c r="E215" t="s">
        <v>94</v>
      </c>
      <c r="F215" t="s">
        <v>13</v>
      </c>
      <c r="G215" t="s">
        <v>249</v>
      </c>
      <c r="H215">
        <v>2500</v>
      </c>
      <c r="J215">
        <v>1600</v>
      </c>
      <c r="K215">
        <v>180</v>
      </c>
      <c r="L215" t="s">
        <v>365</v>
      </c>
      <c r="M215">
        <v>1044618.80363461</v>
      </c>
      <c r="N215">
        <v>4861.9858099684598</v>
      </c>
    </row>
    <row r="216" spans="2:14">
      <c r="B216">
        <v>156796</v>
      </c>
      <c r="D216">
        <v>8650</v>
      </c>
      <c r="E216" t="s">
        <v>94</v>
      </c>
      <c r="F216" t="s">
        <v>13</v>
      </c>
      <c r="G216" t="s">
        <v>249</v>
      </c>
      <c r="H216">
        <v>2500</v>
      </c>
      <c r="J216">
        <v>1600</v>
      </c>
      <c r="K216">
        <v>180</v>
      </c>
      <c r="L216" t="s">
        <v>365</v>
      </c>
      <c r="M216">
        <v>245163.78515815499</v>
      </c>
      <c r="N216">
        <v>1989.8819996289001</v>
      </c>
    </row>
    <row r="217" spans="2:14">
      <c r="B217">
        <v>156794</v>
      </c>
      <c r="D217">
        <v>8650</v>
      </c>
      <c r="E217" t="s">
        <v>94</v>
      </c>
      <c r="F217" t="s">
        <v>13</v>
      </c>
      <c r="G217" t="s">
        <v>249</v>
      </c>
      <c r="H217">
        <v>2500</v>
      </c>
      <c r="J217">
        <v>1600</v>
      </c>
      <c r="K217">
        <v>180</v>
      </c>
      <c r="L217" t="s">
        <v>365</v>
      </c>
      <c r="M217">
        <v>2103987</v>
      </c>
      <c r="N217">
        <v>3362</v>
      </c>
    </row>
    <row r="218" spans="2:14">
      <c r="B218">
        <v>156797</v>
      </c>
      <c r="D218">
        <v>8650</v>
      </c>
      <c r="E218" t="s">
        <v>94</v>
      </c>
      <c r="F218" t="s">
        <v>13</v>
      </c>
      <c r="G218" t="s">
        <v>249</v>
      </c>
      <c r="H218">
        <v>2500</v>
      </c>
      <c r="J218">
        <v>1600</v>
      </c>
      <c r="K218">
        <v>180</v>
      </c>
      <c r="L218" t="s">
        <v>365</v>
      </c>
      <c r="M218">
        <v>647064.92312319495</v>
      </c>
      <c r="N218">
        <v>4794.3366407059802</v>
      </c>
    </row>
    <row r="219" spans="2:14">
      <c r="B219">
        <v>91825</v>
      </c>
      <c r="D219">
        <v>8650</v>
      </c>
      <c r="E219" t="s">
        <v>94</v>
      </c>
      <c r="F219" t="s">
        <v>13</v>
      </c>
      <c r="G219" t="s">
        <v>249</v>
      </c>
      <c r="H219">
        <v>2500</v>
      </c>
      <c r="J219">
        <v>1600</v>
      </c>
      <c r="K219">
        <v>180</v>
      </c>
      <c r="L219" t="s">
        <v>365</v>
      </c>
      <c r="M219">
        <v>1858000.27381421</v>
      </c>
      <c r="N219">
        <v>8233.7731441839296</v>
      </c>
    </row>
    <row r="220" spans="2:14">
      <c r="B220">
        <v>136625</v>
      </c>
      <c r="D220">
        <v>10301</v>
      </c>
      <c r="E220" t="s">
        <v>92</v>
      </c>
      <c r="F220" t="s">
        <v>13</v>
      </c>
      <c r="G220" t="s">
        <v>249</v>
      </c>
      <c r="H220">
        <v>230</v>
      </c>
      <c r="J220">
        <v>100</v>
      </c>
      <c r="K220">
        <v>20</v>
      </c>
      <c r="L220" t="s">
        <v>267</v>
      </c>
      <c r="M220">
        <v>1224275.6064907699</v>
      </c>
      <c r="N220">
        <v>5002.3428084056004</v>
      </c>
    </row>
    <row r="221" spans="2:14">
      <c r="B221">
        <v>156154</v>
      </c>
      <c r="D221">
        <v>11713</v>
      </c>
      <c r="E221" t="s">
        <v>269</v>
      </c>
      <c r="F221" t="s">
        <v>13</v>
      </c>
      <c r="G221" t="s">
        <v>249</v>
      </c>
      <c r="H221">
        <v>152</v>
      </c>
      <c r="K221">
        <v>100</v>
      </c>
      <c r="L221" t="s">
        <v>270</v>
      </c>
      <c r="M221">
        <v>310822.30406660499</v>
      </c>
      <c r="N221">
        <v>2373.7716840257099</v>
      </c>
    </row>
    <row r="222" spans="2:14">
      <c r="B222">
        <v>156155</v>
      </c>
      <c r="D222">
        <v>11713</v>
      </c>
      <c r="E222" t="s">
        <v>269</v>
      </c>
      <c r="F222" t="s">
        <v>13</v>
      </c>
      <c r="G222" t="s">
        <v>249</v>
      </c>
      <c r="H222">
        <v>152</v>
      </c>
      <c r="K222">
        <v>100</v>
      </c>
      <c r="L222" t="s">
        <v>270</v>
      </c>
      <c r="M222">
        <v>298070.41835620999</v>
      </c>
      <c r="N222">
        <v>2361.77833660035</v>
      </c>
    </row>
    <row r="223" spans="2:14">
      <c r="B223">
        <v>93741</v>
      </c>
      <c r="D223">
        <v>8130</v>
      </c>
      <c r="E223" t="s">
        <v>77</v>
      </c>
      <c r="F223" t="s">
        <v>13</v>
      </c>
      <c r="G223" t="s">
        <v>249</v>
      </c>
      <c r="H223">
        <v>1250</v>
      </c>
      <c r="J223">
        <v>780</v>
      </c>
      <c r="K223">
        <v>80</v>
      </c>
      <c r="L223" t="s">
        <v>264</v>
      </c>
      <c r="M223">
        <v>297050.17454996501</v>
      </c>
      <c r="N223">
        <v>3536.2091342140702</v>
      </c>
    </row>
    <row r="224" spans="2:14">
      <c r="B224">
        <v>114220</v>
      </c>
      <c r="D224">
        <v>8130</v>
      </c>
      <c r="E224" t="s">
        <v>77</v>
      </c>
      <c r="F224" t="s">
        <v>13</v>
      </c>
      <c r="G224" t="s">
        <v>249</v>
      </c>
      <c r="H224">
        <v>1250</v>
      </c>
      <c r="J224">
        <v>780</v>
      </c>
      <c r="K224">
        <v>80</v>
      </c>
      <c r="L224" t="s">
        <v>264</v>
      </c>
      <c r="M224">
        <v>491341.68249633501</v>
      </c>
      <c r="N224">
        <v>4395.37234039945</v>
      </c>
    </row>
    <row r="225" spans="2:14">
      <c r="B225">
        <v>155196</v>
      </c>
      <c r="D225">
        <v>8130</v>
      </c>
      <c r="E225" t="s">
        <v>77</v>
      </c>
      <c r="F225" t="s">
        <v>13</v>
      </c>
      <c r="G225" t="s">
        <v>249</v>
      </c>
      <c r="H225">
        <v>1250</v>
      </c>
      <c r="J225">
        <v>780</v>
      </c>
      <c r="K225">
        <v>80</v>
      </c>
      <c r="L225" t="s">
        <v>264</v>
      </c>
      <c r="M225">
        <v>150836.41266591</v>
      </c>
      <c r="N225">
        <v>1669.1528940902999</v>
      </c>
    </row>
    <row r="226" spans="2:14">
      <c r="B226">
        <v>135658</v>
      </c>
      <c r="D226">
        <v>10524</v>
      </c>
      <c r="E226" t="s">
        <v>63</v>
      </c>
      <c r="F226" t="s">
        <v>14</v>
      </c>
      <c r="G226" t="s">
        <v>249</v>
      </c>
      <c r="H226">
        <v>7000</v>
      </c>
      <c r="I226">
        <v>2530</v>
      </c>
      <c r="J226">
        <v>2380</v>
      </c>
      <c r="K226">
        <v>320</v>
      </c>
      <c r="L226" t="s">
        <v>258</v>
      </c>
      <c r="M226">
        <v>3289657</v>
      </c>
      <c r="N226">
        <v>5160</v>
      </c>
    </row>
    <row r="227" spans="2:14">
      <c r="B227">
        <v>136298</v>
      </c>
      <c r="D227">
        <v>10389</v>
      </c>
      <c r="E227" t="s">
        <v>70</v>
      </c>
      <c r="F227" t="s">
        <v>13</v>
      </c>
      <c r="G227" t="s">
        <v>249</v>
      </c>
      <c r="H227">
        <v>120</v>
      </c>
      <c r="J227">
        <v>100</v>
      </c>
      <c r="K227">
        <v>20</v>
      </c>
      <c r="L227" t="s">
        <v>260</v>
      </c>
      <c r="M227">
        <v>601708.80401184503</v>
      </c>
      <c r="N227">
        <v>4130.7267085745898</v>
      </c>
    </row>
    <row r="228" spans="2:14">
      <c r="B228">
        <v>136298</v>
      </c>
      <c r="D228">
        <v>10389</v>
      </c>
      <c r="E228" t="s">
        <v>70</v>
      </c>
      <c r="F228" t="s">
        <v>13</v>
      </c>
      <c r="G228" t="s">
        <v>249</v>
      </c>
      <c r="H228">
        <v>200</v>
      </c>
      <c r="J228">
        <v>120</v>
      </c>
      <c r="K228">
        <v>40</v>
      </c>
      <c r="L228" t="s">
        <v>261</v>
      </c>
      <c r="M228">
        <v>601708.80401184503</v>
      </c>
      <c r="N228">
        <v>4130.7267085745898</v>
      </c>
    </row>
    <row r="229" spans="2:14">
      <c r="B229">
        <v>94698</v>
      </c>
      <c r="D229">
        <v>7550</v>
      </c>
      <c r="E229" t="s">
        <v>52</v>
      </c>
      <c r="F229" t="s">
        <v>13</v>
      </c>
      <c r="G229" t="s">
        <v>249</v>
      </c>
      <c r="H229">
        <v>1400</v>
      </c>
      <c r="J229">
        <v>1100</v>
      </c>
      <c r="K229">
        <v>120</v>
      </c>
      <c r="L229" t="s">
        <v>256</v>
      </c>
      <c r="M229">
        <v>8731191.9646749105</v>
      </c>
      <c r="N229">
        <v>2095</v>
      </c>
    </row>
    <row r="230" spans="2:14">
      <c r="B230">
        <v>90225</v>
      </c>
      <c r="D230">
        <v>7970</v>
      </c>
      <c r="E230" t="s">
        <v>71</v>
      </c>
      <c r="F230" t="s">
        <v>13</v>
      </c>
      <c r="G230" t="s">
        <v>249</v>
      </c>
      <c r="H230">
        <v>3600</v>
      </c>
      <c r="J230">
        <v>1860</v>
      </c>
      <c r="K230">
        <v>200</v>
      </c>
      <c r="L230" t="s">
        <v>263</v>
      </c>
      <c r="M230">
        <v>3346433.5600414402</v>
      </c>
      <c r="N230">
        <v>8376.6262631358004</v>
      </c>
    </row>
    <row r="231" spans="2:14">
      <c r="B231">
        <v>144307</v>
      </c>
      <c r="D231">
        <v>7970</v>
      </c>
      <c r="E231" t="s">
        <v>71</v>
      </c>
      <c r="F231" t="s">
        <v>13</v>
      </c>
      <c r="G231" t="s">
        <v>249</v>
      </c>
      <c r="H231">
        <v>3600</v>
      </c>
      <c r="J231">
        <v>1860</v>
      </c>
      <c r="K231">
        <v>200</v>
      </c>
      <c r="L231" t="s">
        <v>263</v>
      </c>
      <c r="M231">
        <v>996999.04568946001</v>
      </c>
      <c r="N231">
        <v>5065.5356562960596</v>
      </c>
    </row>
    <row r="232" spans="2:14">
      <c r="B232">
        <v>90224</v>
      </c>
      <c r="D232">
        <v>7970</v>
      </c>
      <c r="E232" t="s">
        <v>71</v>
      </c>
      <c r="F232" t="s">
        <v>13</v>
      </c>
      <c r="G232" t="s">
        <v>249</v>
      </c>
      <c r="H232">
        <v>3600</v>
      </c>
      <c r="J232">
        <v>1860</v>
      </c>
      <c r="K232">
        <v>200</v>
      </c>
      <c r="L232" t="s">
        <v>263</v>
      </c>
      <c r="M232">
        <v>1863704.2482836</v>
      </c>
      <c r="N232">
        <v>7556.0852649340804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ADA90-D79D-4CE7-94FF-4ED49F7EF309}">
  <sheetPr codeName="Sheet22">
    <tabColor theme="6" tint="0.79998168889431442"/>
  </sheetPr>
  <dimension ref="B5:J94"/>
  <sheetViews>
    <sheetView workbookViewId="0">
      <selection activeCell="C5" sqref="C5:J10"/>
    </sheetView>
  </sheetViews>
  <sheetFormatPr defaultRowHeight="15"/>
  <cols>
    <col min="2" max="2" width="7.28515625" bestFit="1" customWidth="1"/>
    <col min="3" max="3" width="12.7109375" bestFit="1" customWidth="1"/>
    <col min="4" max="4" width="49.28515625" bestFit="1" customWidth="1"/>
    <col min="5" max="6" width="17.28515625" bestFit="1" customWidth="1"/>
    <col min="7" max="8" width="20.28515625" bestFit="1" customWidth="1"/>
    <col min="9" max="9" width="18.7109375" bestFit="1" customWidth="1"/>
    <col min="10" max="10" width="16.85546875" bestFit="1" customWidth="1"/>
  </cols>
  <sheetData>
    <row r="5" spans="2:10">
      <c r="B5" t="s">
        <v>18</v>
      </c>
      <c r="C5" t="s">
        <v>23</v>
      </c>
      <c r="D5" t="s">
        <v>5</v>
      </c>
      <c r="E5" t="s">
        <v>6</v>
      </c>
      <c r="F5" t="s">
        <v>7</v>
      </c>
      <c r="G5" t="s">
        <v>271</v>
      </c>
      <c r="H5" t="s">
        <v>272</v>
      </c>
      <c r="I5" t="s">
        <v>273</v>
      </c>
      <c r="J5" t="s">
        <v>274</v>
      </c>
    </row>
    <row r="6" spans="2:10" hidden="1">
      <c r="B6">
        <v>2023</v>
      </c>
      <c r="C6" t="s">
        <v>214</v>
      </c>
      <c r="D6" t="s">
        <v>275</v>
      </c>
      <c r="E6" t="s">
        <v>276</v>
      </c>
      <c r="F6" t="s">
        <v>277</v>
      </c>
      <c r="G6" t="s">
        <v>277</v>
      </c>
      <c r="H6" t="s">
        <v>277</v>
      </c>
      <c r="I6">
        <v>750</v>
      </c>
      <c r="J6">
        <v>300</v>
      </c>
    </row>
    <row r="7" spans="2:10" hidden="1">
      <c r="B7">
        <v>2023</v>
      </c>
      <c r="C7" t="s">
        <v>191</v>
      </c>
      <c r="D7" t="s">
        <v>279</v>
      </c>
      <c r="E7" t="s">
        <v>276</v>
      </c>
      <c r="F7" t="s">
        <v>277</v>
      </c>
      <c r="G7" t="s">
        <v>277</v>
      </c>
      <c r="H7" t="s">
        <v>277</v>
      </c>
      <c r="I7">
        <v>4741</v>
      </c>
      <c r="J7">
        <v>2000</v>
      </c>
    </row>
    <row r="8" spans="2:10" hidden="1">
      <c r="B8">
        <v>2023</v>
      </c>
      <c r="C8" t="s">
        <v>211</v>
      </c>
      <c r="D8" t="s">
        <v>280</v>
      </c>
      <c r="E8" t="s">
        <v>276</v>
      </c>
      <c r="F8" t="s">
        <v>277</v>
      </c>
      <c r="G8" t="s">
        <v>277</v>
      </c>
      <c r="H8" t="s">
        <v>277</v>
      </c>
      <c r="I8">
        <v>1000</v>
      </c>
      <c r="J8">
        <v>640</v>
      </c>
    </row>
    <row r="9" spans="2:10" hidden="1">
      <c r="B9">
        <v>2023</v>
      </c>
      <c r="C9" t="s">
        <v>205</v>
      </c>
      <c r="D9" t="s">
        <v>281</v>
      </c>
      <c r="E9" t="s">
        <v>276</v>
      </c>
      <c r="F9" t="s">
        <v>277</v>
      </c>
      <c r="G9" t="s">
        <v>277</v>
      </c>
      <c r="H9" t="s">
        <v>276</v>
      </c>
      <c r="I9">
        <v>5000</v>
      </c>
      <c r="J9">
        <v>3340</v>
      </c>
    </row>
    <row r="10" spans="2:10">
      <c r="B10">
        <v>2023</v>
      </c>
      <c r="C10" t="s">
        <v>214</v>
      </c>
      <c r="D10" t="s">
        <v>284</v>
      </c>
      <c r="E10" t="s">
        <v>276</v>
      </c>
      <c r="F10" t="s">
        <v>277</v>
      </c>
      <c r="G10" t="s">
        <v>277</v>
      </c>
      <c r="H10" t="s">
        <v>276</v>
      </c>
      <c r="I10">
        <v>450</v>
      </c>
      <c r="J10">
        <v>220</v>
      </c>
    </row>
    <row r="11" spans="2:10" hidden="1">
      <c r="B11">
        <v>2023</v>
      </c>
      <c r="C11" t="s">
        <v>197</v>
      </c>
      <c r="D11" t="s">
        <v>285</v>
      </c>
      <c r="E11" t="s">
        <v>276</v>
      </c>
      <c r="F11" t="s">
        <v>277</v>
      </c>
      <c r="G11" t="s">
        <v>277</v>
      </c>
      <c r="H11" t="s">
        <v>277</v>
      </c>
      <c r="I11">
        <v>650</v>
      </c>
      <c r="J11">
        <v>500</v>
      </c>
    </row>
    <row r="12" spans="2:10" hidden="1">
      <c r="B12">
        <v>2023</v>
      </c>
      <c r="C12" t="s">
        <v>204</v>
      </c>
      <c r="D12" t="s">
        <v>286</v>
      </c>
      <c r="E12" t="s">
        <v>276</v>
      </c>
      <c r="F12" t="s">
        <v>277</v>
      </c>
      <c r="G12" t="s">
        <v>277</v>
      </c>
      <c r="H12" t="s">
        <v>277</v>
      </c>
      <c r="I12">
        <v>1550</v>
      </c>
      <c r="J12">
        <v>500</v>
      </c>
    </row>
    <row r="13" spans="2:10" hidden="1">
      <c r="B13">
        <v>2023</v>
      </c>
      <c r="C13" t="s">
        <v>203</v>
      </c>
      <c r="D13" t="s">
        <v>288</v>
      </c>
      <c r="E13" t="s">
        <v>276</v>
      </c>
      <c r="F13" t="s">
        <v>277</v>
      </c>
      <c r="G13" t="s">
        <v>277</v>
      </c>
      <c r="H13" t="s">
        <v>277</v>
      </c>
      <c r="I13">
        <v>350</v>
      </c>
      <c r="J13">
        <v>240</v>
      </c>
    </row>
    <row r="14" spans="2:10" hidden="1">
      <c r="B14">
        <v>2023</v>
      </c>
      <c r="C14" t="s">
        <v>204</v>
      </c>
      <c r="D14" t="s">
        <v>289</v>
      </c>
      <c r="E14" t="s">
        <v>276</v>
      </c>
      <c r="F14" t="s">
        <v>277</v>
      </c>
      <c r="G14" t="s">
        <v>277</v>
      </c>
      <c r="H14" t="s">
        <v>277</v>
      </c>
      <c r="I14">
        <v>1000</v>
      </c>
      <c r="J14">
        <v>440</v>
      </c>
    </row>
    <row r="15" spans="2:10" hidden="1">
      <c r="B15">
        <v>2023</v>
      </c>
      <c r="C15" t="s">
        <v>192</v>
      </c>
      <c r="D15" t="s">
        <v>290</v>
      </c>
      <c r="E15" t="s">
        <v>276</v>
      </c>
      <c r="F15" t="s">
        <v>277</v>
      </c>
      <c r="G15" t="s">
        <v>277</v>
      </c>
      <c r="H15" t="s">
        <v>277</v>
      </c>
      <c r="J15">
        <v>200</v>
      </c>
    </row>
    <row r="16" spans="2:10" hidden="1">
      <c r="B16">
        <v>2023</v>
      </c>
      <c r="C16" t="s">
        <v>190</v>
      </c>
      <c r="D16" t="s">
        <v>291</v>
      </c>
      <c r="E16" t="s">
        <v>276</v>
      </c>
      <c r="F16" t="s">
        <v>277</v>
      </c>
      <c r="G16" t="s">
        <v>277</v>
      </c>
      <c r="H16" t="s">
        <v>277</v>
      </c>
      <c r="I16">
        <v>0</v>
      </c>
      <c r="J16">
        <v>0</v>
      </c>
    </row>
    <row r="17" spans="2:10" hidden="1">
      <c r="B17">
        <v>2023</v>
      </c>
      <c r="C17" t="s">
        <v>213</v>
      </c>
      <c r="D17" t="s">
        <v>292</v>
      </c>
      <c r="E17" t="s">
        <v>276</v>
      </c>
      <c r="F17" t="s">
        <v>277</v>
      </c>
      <c r="G17" t="s">
        <v>277</v>
      </c>
      <c r="H17" t="s">
        <v>277</v>
      </c>
      <c r="I17">
        <v>1500</v>
      </c>
      <c r="J17">
        <v>1180</v>
      </c>
    </row>
    <row r="18" spans="2:10" hidden="1">
      <c r="B18">
        <v>2023</v>
      </c>
      <c r="C18" t="s">
        <v>231</v>
      </c>
      <c r="D18" t="s">
        <v>294</v>
      </c>
      <c r="E18" t="s">
        <v>276</v>
      </c>
      <c r="F18" t="s">
        <v>277</v>
      </c>
      <c r="G18" t="s">
        <v>277</v>
      </c>
      <c r="H18" t="s">
        <v>277</v>
      </c>
      <c r="I18">
        <v>200</v>
      </c>
      <c r="J18">
        <v>120</v>
      </c>
    </row>
    <row r="19" spans="2:10" hidden="1">
      <c r="B19">
        <v>2023</v>
      </c>
      <c r="C19" t="s">
        <v>194</v>
      </c>
      <c r="D19" t="s">
        <v>295</v>
      </c>
      <c r="E19" t="s">
        <v>277</v>
      </c>
      <c r="F19" t="s">
        <v>277</v>
      </c>
      <c r="G19" t="s">
        <v>277</v>
      </c>
      <c r="H19" t="s">
        <v>277</v>
      </c>
      <c r="I19">
        <v>3500</v>
      </c>
      <c r="J19">
        <v>2380</v>
      </c>
    </row>
    <row r="20" spans="2:10" hidden="1">
      <c r="B20">
        <v>2023</v>
      </c>
      <c r="C20" t="s">
        <v>198</v>
      </c>
      <c r="D20" t="s">
        <v>296</v>
      </c>
      <c r="E20" t="s">
        <v>276</v>
      </c>
      <c r="F20" t="s">
        <v>277</v>
      </c>
      <c r="G20" t="s">
        <v>277</v>
      </c>
      <c r="H20" t="s">
        <v>277</v>
      </c>
      <c r="I20">
        <v>1600</v>
      </c>
      <c r="J20">
        <v>740</v>
      </c>
    </row>
    <row r="21" spans="2:10" hidden="1">
      <c r="B21">
        <v>2023</v>
      </c>
      <c r="C21" t="s">
        <v>195</v>
      </c>
      <c r="D21" t="s">
        <v>298</v>
      </c>
      <c r="E21" t="s">
        <v>277</v>
      </c>
      <c r="F21" t="s">
        <v>276</v>
      </c>
      <c r="G21" t="s">
        <v>277</v>
      </c>
      <c r="H21" t="s">
        <v>277</v>
      </c>
      <c r="I21">
        <v>70</v>
      </c>
      <c r="J21">
        <v>60</v>
      </c>
    </row>
    <row r="22" spans="2:10" hidden="1">
      <c r="B22">
        <v>2023</v>
      </c>
      <c r="C22" t="s">
        <v>215</v>
      </c>
      <c r="D22" t="s">
        <v>269</v>
      </c>
      <c r="E22" t="s">
        <v>277</v>
      </c>
      <c r="F22" t="s">
        <v>276</v>
      </c>
      <c r="G22" t="s">
        <v>277</v>
      </c>
      <c r="H22" t="s">
        <v>276</v>
      </c>
      <c r="I22">
        <v>152</v>
      </c>
    </row>
    <row r="23" spans="2:10" hidden="1">
      <c r="B23">
        <v>2023</v>
      </c>
      <c r="C23" t="s">
        <v>199</v>
      </c>
      <c r="D23" t="s">
        <v>300</v>
      </c>
      <c r="E23" t="s">
        <v>277</v>
      </c>
      <c r="F23" t="s">
        <v>276</v>
      </c>
      <c r="G23" t="s">
        <v>277</v>
      </c>
      <c r="H23" t="s">
        <v>277</v>
      </c>
      <c r="I23">
        <v>200</v>
      </c>
      <c r="J23">
        <v>40</v>
      </c>
    </row>
    <row r="24" spans="2:10" hidden="1">
      <c r="B24">
        <v>2023</v>
      </c>
      <c r="C24" t="s">
        <v>193</v>
      </c>
      <c r="D24" t="s">
        <v>12</v>
      </c>
      <c r="E24" t="s">
        <v>276</v>
      </c>
      <c r="F24" t="s">
        <v>277</v>
      </c>
      <c r="G24" t="s">
        <v>277</v>
      </c>
      <c r="H24" t="s">
        <v>277</v>
      </c>
      <c r="I24">
        <v>1300</v>
      </c>
      <c r="J24">
        <v>400</v>
      </c>
    </row>
    <row r="25" spans="2:10" hidden="1">
      <c r="B25">
        <v>2023</v>
      </c>
      <c r="C25" t="s">
        <v>190</v>
      </c>
      <c r="D25" t="s">
        <v>301</v>
      </c>
      <c r="E25" t="s">
        <v>277</v>
      </c>
      <c r="F25" t="s">
        <v>277</v>
      </c>
      <c r="G25" t="s">
        <v>277</v>
      </c>
      <c r="H25" t="s">
        <v>277</v>
      </c>
      <c r="I25">
        <v>0</v>
      </c>
      <c r="J25">
        <v>0</v>
      </c>
    </row>
    <row r="26" spans="2:10" hidden="1">
      <c r="B26">
        <v>2023</v>
      </c>
      <c r="C26" t="s">
        <v>194</v>
      </c>
      <c r="D26" t="s">
        <v>302</v>
      </c>
      <c r="E26" t="s">
        <v>276</v>
      </c>
      <c r="F26" t="s">
        <v>277</v>
      </c>
      <c r="G26" t="s">
        <v>277</v>
      </c>
      <c r="H26" t="s">
        <v>277</v>
      </c>
      <c r="I26">
        <v>1140</v>
      </c>
      <c r="J26">
        <v>600</v>
      </c>
    </row>
    <row r="27" spans="2:10" hidden="1">
      <c r="B27">
        <v>2023</v>
      </c>
      <c r="C27" t="s">
        <v>212</v>
      </c>
      <c r="D27" t="s">
        <v>303</v>
      </c>
      <c r="E27" t="s">
        <v>276</v>
      </c>
      <c r="F27" t="s">
        <v>277</v>
      </c>
      <c r="G27" t="s">
        <v>277</v>
      </c>
      <c r="H27" t="s">
        <v>277</v>
      </c>
      <c r="I27">
        <v>500</v>
      </c>
      <c r="J27">
        <v>200</v>
      </c>
    </row>
    <row r="28" spans="2:10" hidden="1">
      <c r="B28">
        <v>2023</v>
      </c>
      <c r="C28" t="s">
        <v>305</v>
      </c>
      <c r="D28" t="s">
        <v>306</v>
      </c>
      <c r="E28" t="s">
        <v>276</v>
      </c>
      <c r="F28" t="s">
        <v>277</v>
      </c>
      <c r="G28" t="s">
        <v>277</v>
      </c>
      <c r="H28" t="s">
        <v>276</v>
      </c>
      <c r="I28">
        <v>1600</v>
      </c>
      <c r="J28">
        <v>880</v>
      </c>
    </row>
    <row r="29" spans="2:10" hidden="1">
      <c r="B29">
        <v>2023</v>
      </c>
      <c r="C29" t="s">
        <v>209</v>
      </c>
      <c r="D29" t="s">
        <v>307</v>
      </c>
      <c r="E29" t="s">
        <v>277</v>
      </c>
      <c r="F29" t="s">
        <v>276</v>
      </c>
      <c r="G29" t="s">
        <v>277</v>
      </c>
      <c r="H29" t="s">
        <v>277</v>
      </c>
      <c r="I29">
        <v>120</v>
      </c>
      <c r="J29">
        <v>20</v>
      </c>
    </row>
    <row r="30" spans="2:10" hidden="1">
      <c r="B30">
        <v>2023</v>
      </c>
      <c r="C30" t="s">
        <v>191</v>
      </c>
      <c r="D30" t="s">
        <v>309</v>
      </c>
      <c r="E30" t="s">
        <v>276</v>
      </c>
      <c r="F30" t="s">
        <v>277</v>
      </c>
      <c r="G30" t="s">
        <v>277</v>
      </c>
      <c r="H30" t="s">
        <v>277</v>
      </c>
      <c r="I30">
        <v>2000</v>
      </c>
      <c r="J30">
        <v>1100</v>
      </c>
    </row>
    <row r="31" spans="2:10" hidden="1">
      <c r="B31">
        <v>2023</v>
      </c>
      <c r="C31" t="s">
        <v>207</v>
      </c>
      <c r="D31" t="s">
        <v>310</v>
      </c>
      <c r="E31" t="s">
        <v>276</v>
      </c>
      <c r="F31" t="s">
        <v>277</v>
      </c>
      <c r="G31" t="s">
        <v>277</v>
      </c>
      <c r="H31" t="s">
        <v>277</v>
      </c>
      <c r="I31">
        <v>1300</v>
      </c>
      <c r="J31">
        <v>500</v>
      </c>
    </row>
    <row r="32" spans="2:10" hidden="1">
      <c r="B32">
        <v>2023</v>
      </c>
      <c r="C32" t="s">
        <v>189</v>
      </c>
      <c r="D32" t="s">
        <v>311</v>
      </c>
      <c r="E32" t="s">
        <v>276</v>
      </c>
      <c r="F32" t="s">
        <v>277</v>
      </c>
      <c r="G32" t="s">
        <v>277</v>
      </c>
      <c r="H32" t="s">
        <v>277</v>
      </c>
      <c r="I32">
        <v>210</v>
      </c>
      <c r="J32">
        <v>300</v>
      </c>
    </row>
    <row r="33" spans="2:10" hidden="1">
      <c r="B33">
        <v>2023</v>
      </c>
      <c r="C33" t="s">
        <v>189</v>
      </c>
      <c r="D33" t="s">
        <v>312</v>
      </c>
      <c r="E33" t="s">
        <v>276</v>
      </c>
      <c r="F33" t="s">
        <v>277</v>
      </c>
      <c r="G33" t="s">
        <v>277</v>
      </c>
      <c r="H33" t="s">
        <v>277</v>
      </c>
      <c r="I33">
        <v>40</v>
      </c>
      <c r="J33">
        <v>200</v>
      </c>
    </row>
    <row r="34" spans="2:10" hidden="1">
      <c r="B34">
        <v>2023</v>
      </c>
      <c r="C34" t="s">
        <v>205</v>
      </c>
      <c r="D34" t="s">
        <v>314</v>
      </c>
      <c r="E34" t="s">
        <v>276</v>
      </c>
      <c r="F34" t="s">
        <v>277</v>
      </c>
      <c r="G34" t="s">
        <v>277</v>
      </c>
      <c r="H34" t="s">
        <v>277</v>
      </c>
      <c r="I34">
        <v>275</v>
      </c>
      <c r="J34">
        <v>340</v>
      </c>
    </row>
    <row r="35" spans="2:10" hidden="1">
      <c r="B35">
        <v>2023</v>
      </c>
      <c r="C35" t="s">
        <v>191</v>
      </c>
      <c r="D35" t="s">
        <v>315</v>
      </c>
      <c r="E35" t="s">
        <v>276</v>
      </c>
      <c r="F35" t="s">
        <v>277</v>
      </c>
      <c r="G35" t="s">
        <v>277</v>
      </c>
      <c r="H35" t="s">
        <v>277</v>
      </c>
      <c r="I35">
        <v>895</v>
      </c>
      <c r="J35">
        <v>1000</v>
      </c>
    </row>
    <row r="36" spans="2:10" hidden="1">
      <c r="B36">
        <v>2023</v>
      </c>
      <c r="C36" t="s">
        <v>212</v>
      </c>
      <c r="D36" t="s">
        <v>316</v>
      </c>
      <c r="E36" t="s">
        <v>276</v>
      </c>
      <c r="F36" t="s">
        <v>277</v>
      </c>
      <c r="G36" t="s">
        <v>277</v>
      </c>
      <c r="H36" t="s">
        <v>277</v>
      </c>
      <c r="I36">
        <v>475</v>
      </c>
      <c r="J36">
        <v>220</v>
      </c>
    </row>
    <row r="37" spans="2:10" hidden="1">
      <c r="B37">
        <v>2023</v>
      </c>
      <c r="C37" t="s">
        <v>193</v>
      </c>
      <c r="D37" t="s">
        <v>318</v>
      </c>
      <c r="E37" t="s">
        <v>276</v>
      </c>
      <c r="F37" t="s">
        <v>277</v>
      </c>
      <c r="G37" t="s">
        <v>277</v>
      </c>
      <c r="H37" t="s">
        <v>277</v>
      </c>
      <c r="I37">
        <v>2000</v>
      </c>
      <c r="J37">
        <v>1120</v>
      </c>
    </row>
    <row r="38" spans="2:10" hidden="1">
      <c r="B38">
        <v>2023</v>
      </c>
      <c r="C38" t="s">
        <v>198</v>
      </c>
      <c r="D38" t="s">
        <v>319</v>
      </c>
      <c r="E38" t="s">
        <v>276</v>
      </c>
      <c r="F38" t="s">
        <v>277</v>
      </c>
      <c r="G38" t="s">
        <v>277</v>
      </c>
      <c r="H38" t="s">
        <v>277</v>
      </c>
      <c r="I38">
        <v>1000</v>
      </c>
      <c r="J38">
        <v>300</v>
      </c>
    </row>
    <row r="39" spans="2:10" hidden="1">
      <c r="B39">
        <v>2023</v>
      </c>
      <c r="C39" t="s">
        <v>209</v>
      </c>
      <c r="D39" t="s">
        <v>320</v>
      </c>
      <c r="E39" t="s">
        <v>276</v>
      </c>
      <c r="F39" t="s">
        <v>277</v>
      </c>
      <c r="G39" t="s">
        <v>277</v>
      </c>
      <c r="H39" t="s">
        <v>277</v>
      </c>
      <c r="I39">
        <v>500</v>
      </c>
      <c r="J39">
        <v>140</v>
      </c>
    </row>
    <row r="40" spans="2:10" hidden="1">
      <c r="B40">
        <v>2023</v>
      </c>
      <c r="C40" t="s">
        <v>189</v>
      </c>
      <c r="D40" t="s">
        <v>323</v>
      </c>
      <c r="E40" t="s">
        <v>276</v>
      </c>
      <c r="F40" t="s">
        <v>277</v>
      </c>
      <c r="G40" t="s">
        <v>277</v>
      </c>
      <c r="H40" t="s">
        <v>277</v>
      </c>
      <c r="I40">
        <v>5200</v>
      </c>
      <c r="J40">
        <v>2740</v>
      </c>
    </row>
    <row r="41" spans="2:10" hidden="1">
      <c r="B41">
        <v>2023</v>
      </c>
      <c r="C41" t="s">
        <v>215</v>
      </c>
      <c r="D41" t="s">
        <v>326</v>
      </c>
      <c r="E41" t="s">
        <v>277</v>
      </c>
      <c r="F41" t="s">
        <v>276</v>
      </c>
      <c r="G41" t="s">
        <v>277</v>
      </c>
      <c r="H41" t="s">
        <v>276</v>
      </c>
      <c r="I41">
        <v>140</v>
      </c>
    </row>
    <row r="42" spans="2:10" hidden="1">
      <c r="B42">
        <v>2023</v>
      </c>
      <c r="C42" t="s">
        <v>194</v>
      </c>
      <c r="D42" t="s">
        <v>328</v>
      </c>
      <c r="E42" t="s">
        <v>276</v>
      </c>
      <c r="F42" t="s">
        <v>277</v>
      </c>
      <c r="G42" t="s">
        <v>277</v>
      </c>
      <c r="H42" t="s">
        <v>277</v>
      </c>
      <c r="I42">
        <v>1668</v>
      </c>
      <c r="J42">
        <v>860</v>
      </c>
    </row>
    <row r="43" spans="2:10" hidden="1">
      <c r="B43">
        <v>2023</v>
      </c>
      <c r="C43" t="s">
        <v>196</v>
      </c>
      <c r="D43" t="s">
        <v>329</v>
      </c>
      <c r="E43" t="s">
        <v>277</v>
      </c>
      <c r="F43" t="s">
        <v>276</v>
      </c>
      <c r="G43" t="s">
        <v>277</v>
      </c>
      <c r="H43" t="s">
        <v>277</v>
      </c>
      <c r="I43">
        <v>120</v>
      </c>
      <c r="J43">
        <v>40</v>
      </c>
    </row>
    <row r="44" spans="2:10" hidden="1">
      <c r="B44">
        <v>2023</v>
      </c>
      <c r="C44" t="s">
        <v>231</v>
      </c>
      <c r="D44" t="s">
        <v>330</v>
      </c>
      <c r="E44" t="s">
        <v>276</v>
      </c>
      <c r="F44" t="s">
        <v>277</v>
      </c>
      <c r="G44" t="s">
        <v>277</v>
      </c>
      <c r="H44" t="s">
        <v>277</v>
      </c>
      <c r="I44">
        <v>400</v>
      </c>
      <c r="J44">
        <v>240</v>
      </c>
    </row>
    <row r="45" spans="2:10" hidden="1">
      <c r="B45">
        <v>2023</v>
      </c>
      <c r="C45" t="s">
        <v>202</v>
      </c>
      <c r="D45" t="s">
        <v>331</v>
      </c>
      <c r="E45" t="s">
        <v>276</v>
      </c>
      <c r="F45" t="s">
        <v>277</v>
      </c>
      <c r="G45" t="s">
        <v>277</v>
      </c>
      <c r="H45" t="s">
        <v>277</v>
      </c>
      <c r="I45">
        <v>115</v>
      </c>
      <c r="J45">
        <v>100</v>
      </c>
    </row>
    <row r="46" spans="2:10" hidden="1">
      <c r="B46">
        <v>2023</v>
      </c>
      <c r="C46" t="s">
        <v>206</v>
      </c>
      <c r="D46" t="s">
        <v>332</v>
      </c>
      <c r="E46" t="s">
        <v>276</v>
      </c>
      <c r="F46" t="s">
        <v>277</v>
      </c>
      <c r="G46" t="s">
        <v>277</v>
      </c>
      <c r="H46" t="s">
        <v>276</v>
      </c>
      <c r="I46">
        <v>7000</v>
      </c>
      <c r="J46">
        <v>2380</v>
      </c>
    </row>
    <row r="47" spans="2:10" hidden="1">
      <c r="B47">
        <v>2023</v>
      </c>
      <c r="C47" t="s">
        <v>189</v>
      </c>
      <c r="D47" t="s">
        <v>334</v>
      </c>
      <c r="E47" t="s">
        <v>276</v>
      </c>
      <c r="F47" t="s">
        <v>277</v>
      </c>
      <c r="G47" t="s">
        <v>277</v>
      </c>
      <c r="H47" t="s">
        <v>277</v>
      </c>
      <c r="I47">
        <v>700</v>
      </c>
      <c r="J47">
        <v>720</v>
      </c>
    </row>
    <row r="48" spans="2:10" hidden="1">
      <c r="B48">
        <v>2023</v>
      </c>
      <c r="C48" t="s">
        <v>216</v>
      </c>
      <c r="D48" t="s">
        <v>335</v>
      </c>
      <c r="E48" t="s">
        <v>276</v>
      </c>
      <c r="F48" t="s">
        <v>276</v>
      </c>
      <c r="G48" t="s">
        <v>277</v>
      </c>
      <c r="H48" t="s">
        <v>277</v>
      </c>
      <c r="I48">
        <v>2000</v>
      </c>
      <c r="J48">
        <v>1600</v>
      </c>
    </row>
    <row r="49" spans="2:10" hidden="1">
      <c r="B49">
        <v>2023</v>
      </c>
      <c r="C49" t="s">
        <v>192</v>
      </c>
      <c r="D49" t="s">
        <v>336</v>
      </c>
      <c r="E49" t="s">
        <v>277</v>
      </c>
      <c r="F49" t="s">
        <v>277</v>
      </c>
      <c r="G49" t="s">
        <v>277</v>
      </c>
      <c r="H49" t="s">
        <v>277</v>
      </c>
      <c r="J49">
        <v>100</v>
      </c>
    </row>
    <row r="50" spans="2:10" hidden="1">
      <c r="B50">
        <v>2023</v>
      </c>
      <c r="C50" t="s">
        <v>204</v>
      </c>
      <c r="D50" t="s">
        <v>338</v>
      </c>
      <c r="E50" t="s">
        <v>276</v>
      </c>
      <c r="F50" t="s">
        <v>277</v>
      </c>
      <c r="G50" t="s">
        <v>277</v>
      </c>
      <c r="H50" t="s">
        <v>277</v>
      </c>
      <c r="I50">
        <v>3700</v>
      </c>
      <c r="J50">
        <v>1600</v>
      </c>
    </row>
    <row r="51" spans="2:10" hidden="1">
      <c r="B51">
        <v>2023</v>
      </c>
      <c r="C51" t="s">
        <v>190</v>
      </c>
      <c r="D51" t="s">
        <v>339</v>
      </c>
      <c r="E51" t="s">
        <v>276</v>
      </c>
      <c r="F51" t="s">
        <v>277</v>
      </c>
      <c r="G51" t="s">
        <v>277</v>
      </c>
      <c r="H51" t="s">
        <v>277</v>
      </c>
      <c r="I51">
        <v>1000</v>
      </c>
      <c r="J51">
        <v>1100</v>
      </c>
    </row>
    <row r="52" spans="2:10" hidden="1">
      <c r="B52">
        <v>2023</v>
      </c>
      <c r="C52" t="s">
        <v>222</v>
      </c>
      <c r="D52" t="s">
        <v>111</v>
      </c>
      <c r="E52" t="s">
        <v>276</v>
      </c>
      <c r="F52" t="s">
        <v>277</v>
      </c>
      <c r="G52" t="s">
        <v>277</v>
      </c>
      <c r="H52" t="s">
        <v>277</v>
      </c>
      <c r="I52">
        <v>1500</v>
      </c>
      <c r="J52">
        <v>770</v>
      </c>
    </row>
    <row r="53" spans="2:10" hidden="1">
      <c r="B53">
        <v>2023</v>
      </c>
      <c r="C53" t="s">
        <v>191</v>
      </c>
      <c r="D53" t="s">
        <v>340</v>
      </c>
      <c r="E53" t="s">
        <v>276</v>
      </c>
      <c r="F53" t="s">
        <v>277</v>
      </c>
      <c r="G53" t="s">
        <v>277</v>
      </c>
      <c r="H53" t="s">
        <v>277</v>
      </c>
      <c r="I53">
        <v>900</v>
      </c>
      <c r="J53">
        <v>2000</v>
      </c>
    </row>
    <row r="54" spans="2:10" hidden="1">
      <c r="B54">
        <v>2023</v>
      </c>
      <c r="C54" t="s">
        <v>204</v>
      </c>
      <c r="D54" t="s">
        <v>341</v>
      </c>
      <c r="E54" t="s">
        <v>276</v>
      </c>
      <c r="F54" t="s">
        <v>277</v>
      </c>
      <c r="G54" t="s">
        <v>277</v>
      </c>
      <c r="H54" t="s">
        <v>277</v>
      </c>
      <c r="I54">
        <v>2950</v>
      </c>
      <c r="J54">
        <v>1300</v>
      </c>
    </row>
    <row r="55" spans="2:10" hidden="1">
      <c r="B55">
        <v>2023</v>
      </c>
      <c r="C55" t="s">
        <v>219</v>
      </c>
      <c r="D55" t="s">
        <v>342</v>
      </c>
      <c r="E55" t="s">
        <v>276</v>
      </c>
      <c r="F55" t="s">
        <v>277</v>
      </c>
      <c r="G55" t="s">
        <v>277</v>
      </c>
      <c r="H55" t="s">
        <v>277</v>
      </c>
      <c r="I55">
        <v>1450</v>
      </c>
      <c r="J55">
        <v>420</v>
      </c>
    </row>
    <row r="56" spans="2:10" hidden="1">
      <c r="B56">
        <v>2023</v>
      </c>
      <c r="C56" t="s">
        <v>231</v>
      </c>
      <c r="D56" t="s">
        <v>343</v>
      </c>
      <c r="E56" t="s">
        <v>276</v>
      </c>
      <c r="F56" t="s">
        <v>277</v>
      </c>
      <c r="G56" t="s">
        <v>277</v>
      </c>
      <c r="H56" t="s">
        <v>277</v>
      </c>
      <c r="I56">
        <v>640</v>
      </c>
      <c r="J56">
        <v>400</v>
      </c>
    </row>
    <row r="57" spans="2:10" hidden="1">
      <c r="B57">
        <v>2023</v>
      </c>
      <c r="C57" t="s">
        <v>213</v>
      </c>
      <c r="D57" t="s">
        <v>344</v>
      </c>
      <c r="E57" t="s">
        <v>276</v>
      </c>
      <c r="F57" t="s">
        <v>277</v>
      </c>
      <c r="G57" t="s">
        <v>277</v>
      </c>
      <c r="H57" t="s">
        <v>277</v>
      </c>
      <c r="J57">
        <v>280</v>
      </c>
    </row>
    <row r="58" spans="2:10" hidden="1">
      <c r="B58">
        <v>2023</v>
      </c>
      <c r="C58" t="s">
        <v>194</v>
      </c>
      <c r="D58" t="s">
        <v>346</v>
      </c>
      <c r="E58" t="s">
        <v>276</v>
      </c>
      <c r="F58" t="s">
        <v>277</v>
      </c>
      <c r="G58" t="s">
        <v>277</v>
      </c>
      <c r="H58" t="s">
        <v>277</v>
      </c>
      <c r="I58">
        <v>300</v>
      </c>
      <c r="J58">
        <v>140</v>
      </c>
    </row>
    <row r="59" spans="2:10" hidden="1">
      <c r="B59">
        <v>2023</v>
      </c>
      <c r="C59" t="s">
        <v>347</v>
      </c>
      <c r="D59" t="s">
        <v>348</v>
      </c>
      <c r="E59" t="s">
        <v>276</v>
      </c>
      <c r="F59" t="s">
        <v>277</v>
      </c>
      <c r="G59" t="s">
        <v>277</v>
      </c>
      <c r="H59" t="s">
        <v>277</v>
      </c>
      <c r="I59">
        <v>300</v>
      </c>
      <c r="J59">
        <v>160</v>
      </c>
    </row>
    <row r="60" spans="2:10" hidden="1">
      <c r="B60">
        <v>2023</v>
      </c>
      <c r="C60" t="s">
        <v>198</v>
      </c>
      <c r="D60" t="s">
        <v>350</v>
      </c>
      <c r="E60" t="s">
        <v>276</v>
      </c>
      <c r="F60" t="s">
        <v>277</v>
      </c>
      <c r="G60" t="s">
        <v>277</v>
      </c>
      <c r="H60" t="s">
        <v>277</v>
      </c>
      <c r="I60">
        <v>300</v>
      </c>
      <c r="J60">
        <v>140</v>
      </c>
    </row>
    <row r="61" spans="2:10" hidden="1">
      <c r="B61">
        <v>2023</v>
      </c>
      <c r="C61" t="s">
        <v>203</v>
      </c>
      <c r="D61" t="s">
        <v>111</v>
      </c>
      <c r="E61" t="s">
        <v>276</v>
      </c>
      <c r="F61" t="s">
        <v>277</v>
      </c>
      <c r="G61" t="s">
        <v>277</v>
      </c>
      <c r="H61" t="s">
        <v>277</v>
      </c>
      <c r="I61">
        <v>398</v>
      </c>
      <c r="J61">
        <v>180</v>
      </c>
    </row>
    <row r="62" spans="2:10" hidden="1">
      <c r="B62">
        <v>2023</v>
      </c>
      <c r="C62" t="s">
        <v>205</v>
      </c>
      <c r="D62" t="s">
        <v>351</v>
      </c>
      <c r="E62" t="s">
        <v>277</v>
      </c>
      <c r="F62" t="s">
        <v>276</v>
      </c>
      <c r="G62" t="s">
        <v>277</v>
      </c>
      <c r="H62" t="s">
        <v>277</v>
      </c>
      <c r="I62">
        <v>120</v>
      </c>
      <c r="J62">
        <v>80</v>
      </c>
    </row>
    <row r="63" spans="2:10" hidden="1">
      <c r="B63">
        <v>2023</v>
      </c>
      <c r="C63" t="s">
        <v>196</v>
      </c>
      <c r="D63" t="s">
        <v>352</v>
      </c>
      <c r="E63" t="s">
        <v>277</v>
      </c>
      <c r="F63" t="s">
        <v>276</v>
      </c>
      <c r="G63" t="s">
        <v>277</v>
      </c>
      <c r="H63" t="s">
        <v>277</v>
      </c>
      <c r="I63">
        <v>450</v>
      </c>
      <c r="J63">
        <v>40</v>
      </c>
    </row>
    <row r="64" spans="2:10" hidden="1">
      <c r="B64">
        <v>2023</v>
      </c>
      <c r="C64" t="s">
        <v>347</v>
      </c>
      <c r="D64" t="s">
        <v>353</v>
      </c>
      <c r="E64" t="s">
        <v>276</v>
      </c>
      <c r="F64" t="s">
        <v>277</v>
      </c>
      <c r="G64" t="s">
        <v>277</v>
      </c>
      <c r="H64" t="s">
        <v>277</v>
      </c>
      <c r="I64">
        <v>320</v>
      </c>
      <c r="J64">
        <v>220</v>
      </c>
    </row>
    <row r="65" spans="2:10" hidden="1">
      <c r="B65">
        <v>2023</v>
      </c>
      <c r="C65" t="s">
        <v>194</v>
      </c>
      <c r="D65" t="s">
        <v>354</v>
      </c>
      <c r="E65" t="s">
        <v>276</v>
      </c>
      <c r="F65" t="s">
        <v>277</v>
      </c>
      <c r="G65" t="s">
        <v>277</v>
      </c>
      <c r="H65" t="s">
        <v>277</v>
      </c>
      <c r="I65">
        <v>1980</v>
      </c>
      <c r="J65">
        <v>1200</v>
      </c>
    </row>
    <row r="66" spans="2:10" hidden="1">
      <c r="B66">
        <v>2023</v>
      </c>
      <c r="C66" t="s">
        <v>231</v>
      </c>
      <c r="D66" t="s">
        <v>355</v>
      </c>
      <c r="E66" t="s">
        <v>276</v>
      </c>
      <c r="F66" t="s">
        <v>277</v>
      </c>
      <c r="G66" t="s">
        <v>277</v>
      </c>
      <c r="H66" t="s">
        <v>277</v>
      </c>
      <c r="I66">
        <v>490</v>
      </c>
      <c r="J66">
        <v>300</v>
      </c>
    </row>
    <row r="67" spans="2:10" hidden="1">
      <c r="B67">
        <v>2023</v>
      </c>
      <c r="C67" t="s">
        <v>198</v>
      </c>
      <c r="D67" t="s">
        <v>356</v>
      </c>
      <c r="E67" t="s">
        <v>276</v>
      </c>
      <c r="F67" t="s">
        <v>277</v>
      </c>
      <c r="G67" t="s">
        <v>277</v>
      </c>
      <c r="H67" t="s">
        <v>277</v>
      </c>
      <c r="I67">
        <v>1600</v>
      </c>
      <c r="J67">
        <v>500</v>
      </c>
    </row>
    <row r="68" spans="2:10" hidden="1">
      <c r="B68">
        <v>2023</v>
      </c>
      <c r="C68" t="s">
        <v>208</v>
      </c>
      <c r="D68" t="s">
        <v>357</v>
      </c>
      <c r="E68" t="s">
        <v>276</v>
      </c>
      <c r="F68" t="s">
        <v>277</v>
      </c>
      <c r="G68" t="s">
        <v>277</v>
      </c>
      <c r="H68" t="s">
        <v>277</v>
      </c>
      <c r="I68">
        <v>475</v>
      </c>
      <c r="J68">
        <v>180</v>
      </c>
    </row>
    <row r="69" spans="2:10" hidden="1">
      <c r="B69">
        <v>2023</v>
      </c>
      <c r="C69" t="s">
        <v>192</v>
      </c>
      <c r="D69" t="s">
        <v>358</v>
      </c>
      <c r="E69" t="s">
        <v>276</v>
      </c>
      <c r="F69" t="s">
        <v>277</v>
      </c>
      <c r="G69" t="s">
        <v>277</v>
      </c>
      <c r="H69" t="s">
        <v>277</v>
      </c>
      <c r="J69">
        <v>160</v>
      </c>
    </row>
    <row r="70" spans="2:10" hidden="1">
      <c r="B70">
        <v>2023</v>
      </c>
      <c r="C70" t="s">
        <v>219</v>
      </c>
      <c r="D70" t="s">
        <v>359</v>
      </c>
      <c r="E70" t="s">
        <v>276</v>
      </c>
      <c r="F70" t="s">
        <v>276</v>
      </c>
      <c r="G70" t="s">
        <v>277</v>
      </c>
      <c r="H70" t="s">
        <v>276</v>
      </c>
      <c r="I70">
        <v>2000</v>
      </c>
      <c r="J70">
        <v>1550</v>
      </c>
    </row>
    <row r="71" spans="2:10" hidden="1">
      <c r="B71">
        <v>2023</v>
      </c>
      <c r="C71" t="s">
        <v>202</v>
      </c>
      <c r="D71" t="s">
        <v>361</v>
      </c>
      <c r="E71" t="s">
        <v>276</v>
      </c>
      <c r="F71" t="s">
        <v>277</v>
      </c>
      <c r="G71" t="s">
        <v>277</v>
      </c>
      <c r="H71" t="s">
        <v>277</v>
      </c>
      <c r="I71">
        <v>1000</v>
      </c>
      <c r="J71">
        <v>640</v>
      </c>
    </row>
    <row r="72" spans="2:10" hidden="1">
      <c r="B72">
        <v>2023</v>
      </c>
      <c r="C72" t="s">
        <v>204</v>
      </c>
      <c r="D72" t="s">
        <v>362</v>
      </c>
      <c r="E72" t="s">
        <v>276</v>
      </c>
      <c r="F72" t="s">
        <v>277</v>
      </c>
      <c r="G72" t="s">
        <v>277</v>
      </c>
      <c r="H72" t="s">
        <v>277</v>
      </c>
      <c r="I72">
        <v>6760</v>
      </c>
      <c r="J72">
        <v>2780</v>
      </c>
    </row>
    <row r="73" spans="2:10" hidden="1">
      <c r="B73">
        <v>2023</v>
      </c>
      <c r="C73" t="s">
        <v>194</v>
      </c>
      <c r="D73" t="s">
        <v>363</v>
      </c>
      <c r="E73" t="s">
        <v>276</v>
      </c>
      <c r="F73" t="s">
        <v>277</v>
      </c>
      <c r="G73" t="s">
        <v>277</v>
      </c>
      <c r="H73" t="s">
        <v>277</v>
      </c>
      <c r="I73">
        <v>600</v>
      </c>
      <c r="J73">
        <v>380</v>
      </c>
    </row>
    <row r="74" spans="2:10" hidden="1">
      <c r="B74">
        <v>2023</v>
      </c>
      <c r="C74" t="s">
        <v>203</v>
      </c>
      <c r="D74" t="s">
        <v>278</v>
      </c>
      <c r="E74" t="s">
        <v>276</v>
      </c>
      <c r="F74" t="s">
        <v>277</v>
      </c>
      <c r="G74" t="s">
        <v>276</v>
      </c>
      <c r="H74" t="s">
        <v>277</v>
      </c>
      <c r="I74">
        <v>2500</v>
      </c>
      <c r="J74">
        <v>1600</v>
      </c>
    </row>
    <row r="75" spans="2:10" hidden="1">
      <c r="B75">
        <v>2023</v>
      </c>
      <c r="C75" t="s">
        <v>198</v>
      </c>
      <c r="D75" t="s">
        <v>282</v>
      </c>
      <c r="E75" t="s">
        <v>276</v>
      </c>
      <c r="F75" t="s">
        <v>277</v>
      </c>
      <c r="G75" t="s">
        <v>276</v>
      </c>
      <c r="H75" t="s">
        <v>277</v>
      </c>
      <c r="I75">
        <v>2000</v>
      </c>
      <c r="J75">
        <v>1600</v>
      </c>
    </row>
    <row r="76" spans="2:10" hidden="1">
      <c r="B76">
        <v>2023</v>
      </c>
      <c r="C76" t="s">
        <v>205</v>
      </c>
      <c r="D76" t="s">
        <v>283</v>
      </c>
      <c r="E76" t="s">
        <v>276</v>
      </c>
      <c r="F76" t="s">
        <v>277</v>
      </c>
      <c r="G76" t="s">
        <v>276</v>
      </c>
      <c r="H76" t="s">
        <v>276</v>
      </c>
      <c r="I76">
        <v>1500</v>
      </c>
      <c r="J76">
        <v>920</v>
      </c>
    </row>
    <row r="77" spans="2:10" hidden="1">
      <c r="B77">
        <v>2023</v>
      </c>
      <c r="C77" t="s">
        <v>196</v>
      </c>
      <c r="D77" t="s">
        <v>287</v>
      </c>
      <c r="E77" t="s">
        <v>276</v>
      </c>
      <c r="F77" t="s">
        <v>276</v>
      </c>
      <c r="G77" t="s">
        <v>276</v>
      </c>
      <c r="H77" t="s">
        <v>277</v>
      </c>
      <c r="I77">
        <v>1500</v>
      </c>
      <c r="J77">
        <v>800</v>
      </c>
    </row>
    <row r="78" spans="2:10" hidden="1">
      <c r="B78">
        <v>2023</v>
      </c>
      <c r="C78" t="s">
        <v>194</v>
      </c>
      <c r="D78" t="s">
        <v>293</v>
      </c>
      <c r="E78" t="s">
        <v>276</v>
      </c>
      <c r="F78" t="s">
        <v>277</v>
      </c>
      <c r="G78" t="s">
        <v>276</v>
      </c>
      <c r="H78" t="s">
        <v>277</v>
      </c>
      <c r="I78">
        <v>3600</v>
      </c>
      <c r="J78">
        <v>1860</v>
      </c>
    </row>
    <row r="79" spans="2:10" hidden="1">
      <c r="B79">
        <v>2023</v>
      </c>
      <c r="C79" t="s">
        <v>203</v>
      </c>
      <c r="D79" t="s">
        <v>297</v>
      </c>
      <c r="E79" t="s">
        <v>276</v>
      </c>
      <c r="F79" t="s">
        <v>276</v>
      </c>
      <c r="G79" t="s">
        <v>276</v>
      </c>
      <c r="H79" t="s">
        <v>277</v>
      </c>
      <c r="I79">
        <v>230</v>
      </c>
      <c r="J79">
        <v>100</v>
      </c>
    </row>
    <row r="80" spans="2:10" hidden="1">
      <c r="B80">
        <v>2023</v>
      </c>
      <c r="C80" t="s">
        <v>195</v>
      </c>
      <c r="D80" t="s">
        <v>299</v>
      </c>
      <c r="E80" t="s">
        <v>276</v>
      </c>
      <c r="F80" t="s">
        <v>276</v>
      </c>
      <c r="G80" t="s">
        <v>276</v>
      </c>
      <c r="H80" t="s">
        <v>276</v>
      </c>
      <c r="I80">
        <v>750</v>
      </c>
      <c r="J80">
        <v>420</v>
      </c>
    </row>
    <row r="81" spans="2:10" hidden="1">
      <c r="B81">
        <v>2023</v>
      </c>
      <c r="C81" t="s">
        <v>188</v>
      </c>
      <c r="D81" t="s">
        <v>304</v>
      </c>
      <c r="E81" t="s">
        <v>276</v>
      </c>
      <c r="F81" t="s">
        <v>277</v>
      </c>
      <c r="G81" t="s">
        <v>276</v>
      </c>
      <c r="H81" t="s">
        <v>277</v>
      </c>
      <c r="I81">
        <v>900</v>
      </c>
      <c r="J81">
        <v>800</v>
      </c>
    </row>
    <row r="82" spans="2:10" hidden="1">
      <c r="B82">
        <v>2023</v>
      </c>
      <c r="C82" t="s">
        <v>197</v>
      </c>
      <c r="D82" t="s">
        <v>308</v>
      </c>
      <c r="E82" t="s">
        <v>276</v>
      </c>
      <c r="F82" t="s">
        <v>277</v>
      </c>
      <c r="G82" t="s">
        <v>276</v>
      </c>
      <c r="H82" t="s">
        <v>277</v>
      </c>
      <c r="I82">
        <v>2800</v>
      </c>
      <c r="J82">
        <v>1640</v>
      </c>
    </row>
    <row r="83" spans="2:10" hidden="1">
      <c r="B83">
        <v>2023</v>
      </c>
      <c r="C83" t="s">
        <v>200</v>
      </c>
      <c r="D83" t="s">
        <v>313</v>
      </c>
      <c r="E83" t="s">
        <v>276</v>
      </c>
      <c r="F83" t="s">
        <v>277</v>
      </c>
      <c r="G83" t="s">
        <v>276</v>
      </c>
      <c r="H83" t="s">
        <v>277</v>
      </c>
      <c r="I83">
        <v>3100</v>
      </c>
      <c r="J83">
        <v>1560</v>
      </c>
    </row>
    <row r="84" spans="2:10" hidden="1">
      <c r="B84">
        <v>2023</v>
      </c>
      <c r="C84" t="s">
        <v>200</v>
      </c>
      <c r="D84" t="s">
        <v>317</v>
      </c>
      <c r="E84" t="s">
        <v>276</v>
      </c>
      <c r="F84" t="s">
        <v>277</v>
      </c>
      <c r="G84" t="s">
        <v>276</v>
      </c>
      <c r="H84" t="s">
        <v>277</v>
      </c>
      <c r="I84">
        <v>1400</v>
      </c>
      <c r="J84">
        <v>1100</v>
      </c>
    </row>
    <row r="85" spans="2:10" hidden="1">
      <c r="B85">
        <v>2023</v>
      </c>
      <c r="C85" t="s">
        <v>194</v>
      </c>
      <c r="D85" t="s">
        <v>321</v>
      </c>
      <c r="E85" t="s">
        <v>276</v>
      </c>
      <c r="F85" t="s">
        <v>277</v>
      </c>
      <c r="G85" t="s">
        <v>276</v>
      </c>
      <c r="H85" t="s">
        <v>277</v>
      </c>
      <c r="I85">
        <v>1450</v>
      </c>
      <c r="J85">
        <v>960</v>
      </c>
    </row>
    <row r="86" spans="2:10" hidden="1">
      <c r="B86">
        <v>2023</v>
      </c>
      <c r="C86" t="s">
        <v>188</v>
      </c>
      <c r="D86" t="s">
        <v>322</v>
      </c>
      <c r="E86" t="s">
        <v>276</v>
      </c>
      <c r="F86" t="s">
        <v>277</v>
      </c>
      <c r="G86" t="s">
        <v>276</v>
      </c>
      <c r="H86" t="s">
        <v>277</v>
      </c>
      <c r="I86">
        <v>1100</v>
      </c>
      <c r="J86">
        <v>1000</v>
      </c>
    </row>
    <row r="87" spans="2:10" hidden="1">
      <c r="B87">
        <v>2023</v>
      </c>
      <c r="C87" t="s">
        <v>210</v>
      </c>
      <c r="D87" t="s">
        <v>324</v>
      </c>
      <c r="E87" t="s">
        <v>276</v>
      </c>
      <c r="F87" t="s">
        <v>277</v>
      </c>
      <c r="G87" t="s">
        <v>325</v>
      </c>
      <c r="H87" t="s">
        <v>276</v>
      </c>
      <c r="I87">
        <v>3600</v>
      </c>
      <c r="J87">
        <v>11000</v>
      </c>
    </row>
    <row r="88" spans="2:10" hidden="1">
      <c r="B88">
        <v>2023</v>
      </c>
      <c r="C88" t="s">
        <v>203</v>
      </c>
      <c r="D88" t="s">
        <v>327</v>
      </c>
      <c r="E88" t="s">
        <v>276</v>
      </c>
      <c r="F88" t="s">
        <v>277</v>
      </c>
      <c r="G88" t="s">
        <v>276</v>
      </c>
      <c r="H88" t="s">
        <v>277</v>
      </c>
      <c r="I88">
        <v>1000</v>
      </c>
      <c r="J88">
        <v>1300</v>
      </c>
    </row>
    <row r="89" spans="2:10" hidden="1">
      <c r="B89">
        <v>2023</v>
      </c>
      <c r="C89" t="s">
        <v>194</v>
      </c>
      <c r="D89" t="s">
        <v>295</v>
      </c>
      <c r="E89" t="s">
        <v>276</v>
      </c>
      <c r="F89" t="s">
        <v>277</v>
      </c>
      <c r="G89" t="s">
        <v>276</v>
      </c>
      <c r="H89" t="s">
        <v>277</v>
      </c>
      <c r="I89">
        <v>3500</v>
      </c>
      <c r="J89">
        <v>2380</v>
      </c>
    </row>
    <row r="90" spans="2:10" hidden="1">
      <c r="B90">
        <v>2023</v>
      </c>
      <c r="C90" t="s">
        <v>203</v>
      </c>
      <c r="D90" t="s">
        <v>333</v>
      </c>
      <c r="E90" t="s">
        <v>276</v>
      </c>
      <c r="F90" t="s">
        <v>277</v>
      </c>
      <c r="G90" t="s">
        <v>276</v>
      </c>
      <c r="H90" t="s">
        <v>277</v>
      </c>
      <c r="I90">
        <v>750</v>
      </c>
      <c r="J90">
        <v>700</v>
      </c>
    </row>
    <row r="91" spans="2:10" hidden="1">
      <c r="B91">
        <v>2023</v>
      </c>
      <c r="C91" t="s">
        <v>198</v>
      </c>
      <c r="D91" t="s">
        <v>337</v>
      </c>
      <c r="E91" t="s">
        <v>276</v>
      </c>
      <c r="F91" t="s">
        <v>277</v>
      </c>
      <c r="G91" t="s">
        <v>276</v>
      </c>
      <c r="H91" t="s">
        <v>277</v>
      </c>
      <c r="I91">
        <v>1300</v>
      </c>
      <c r="J91">
        <v>780</v>
      </c>
    </row>
    <row r="92" spans="2:10" hidden="1">
      <c r="B92">
        <v>2023</v>
      </c>
      <c r="C92" t="s">
        <v>202</v>
      </c>
      <c r="D92" t="s">
        <v>345</v>
      </c>
      <c r="E92" t="s">
        <v>276</v>
      </c>
      <c r="F92" t="s">
        <v>277</v>
      </c>
      <c r="G92" t="s">
        <v>276</v>
      </c>
      <c r="H92" t="s">
        <v>277</v>
      </c>
      <c r="I92">
        <v>1000</v>
      </c>
      <c r="J92">
        <v>680</v>
      </c>
    </row>
    <row r="93" spans="2:10" hidden="1">
      <c r="B93">
        <v>2023</v>
      </c>
      <c r="C93" t="s">
        <v>201</v>
      </c>
      <c r="D93" t="s">
        <v>349</v>
      </c>
      <c r="E93" t="s">
        <v>276</v>
      </c>
      <c r="F93" t="s">
        <v>277</v>
      </c>
      <c r="G93" t="s">
        <v>276</v>
      </c>
      <c r="H93" t="s">
        <v>277</v>
      </c>
      <c r="I93">
        <v>215</v>
      </c>
      <c r="J93">
        <v>220</v>
      </c>
    </row>
    <row r="94" spans="2:10" hidden="1">
      <c r="B94">
        <v>2023</v>
      </c>
      <c r="C94" t="s">
        <v>210</v>
      </c>
      <c r="D94" t="s">
        <v>360</v>
      </c>
      <c r="E94" t="s">
        <v>276</v>
      </c>
      <c r="F94" t="s">
        <v>277</v>
      </c>
      <c r="G94" t="s">
        <v>276</v>
      </c>
      <c r="H94" t="s">
        <v>277</v>
      </c>
      <c r="I94">
        <v>1250</v>
      </c>
      <c r="J94">
        <v>780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A2766-8831-4402-B5DE-8E7424DF4E92}">
  <sheetPr codeName="Sheet19">
    <tabColor theme="6" tint="0.79998168889431442"/>
  </sheetPr>
  <dimension ref="B5:M232"/>
  <sheetViews>
    <sheetView workbookViewId="0">
      <selection activeCell="D9" sqref="D9"/>
    </sheetView>
  </sheetViews>
  <sheetFormatPr defaultRowHeight="15"/>
  <cols>
    <col min="2" max="2" width="11.5703125" bestFit="1" customWidth="1"/>
    <col min="3" max="3" width="14.5703125" bestFit="1" customWidth="1"/>
    <col min="4" max="4" width="51.5703125" bestFit="1" customWidth="1"/>
    <col min="5" max="5" width="14" bestFit="1" customWidth="1"/>
    <col min="6" max="6" width="14.5703125" bestFit="1" customWidth="1"/>
    <col min="7" max="7" width="13.85546875" bestFit="1" customWidth="1"/>
    <col min="8" max="8" width="14.28515625" bestFit="1" customWidth="1"/>
    <col min="9" max="9" width="14.85546875" bestFit="1" customWidth="1"/>
    <col min="10" max="10" width="14.7109375" bestFit="1" customWidth="1"/>
    <col min="11" max="11" width="20.7109375" customWidth="1"/>
    <col min="12" max="12" width="14.7109375" bestFit="1" customWidth="1"/>
    <col min="13" max="13" width="13.28515625" bestFit="1" customWidth="1"/>
  </cols>
  <sheetData>
    <row r="5" spans="2:13">
      <c r="B5" t="s">
        <v>237</v>
      </c>
      <c r="C5" t="s">
        <v>238</v>
      </c>
      <c r="D5" t="s">
        <v>239</v>
      </c>
      <c r="E5" t="s">
        <v>240</v>
      </c>
      <c r="F5" t="s">
        <v>241</v>
      </c>
      <c r="G5" t="s">
        <v>242</v>
      </c>
      <c r="H5" t="s">
        <v>243</v>
      </c>
      <c r="I5" t="s">
        <v>244</v>
      </c>
      <c r="J5" t="s">
        <v>245</v>
      </c>
      <c r="K5" t="s">
        <v>246</v>
      </c>
      <c r="L5" t="s">
        <v>247</v>
      </c>
      <c r="M5" t="s">
        <v>248</v>
      </c>
    </row>
    <row r="6" spans="2:13">
      <c r="B6">
        <v>90222</v>
      </c>
      <c r="C6">
        <v>7014</v>
      </c>
      <c r="D6" t="s">
        <v>31</v>
      </c>
      <c r="E6" t="s">
        <v>13</v>
      </c>
      <c r="F6" t="s">
        <v>249</v>
      </c>
      <c r="G6">
        <v>40</v>
      </c>
      <c r="I6">
        <v>200</v>
      </c>
      <c r="J6">
        <v>20</v>
      </c>
      <c r="L6">
        <v>214988.69771725</v>
      </c>
      <c r="M6">
        <v>3839.7119195978198</v>
      </c>
    </row>
    <row r="7" spans="2:13">
      <c r="B7">
        <v>154218</v>
      </c>
      <c r="C7">
        <v>7020</v>
      </c>
      <c r="D7" t="s">
        <v>32</v>
      </c>
      <c r="E7" t="s">
        <v>13</v>
      </c>
      <c r="F7" t="s">
        <v>249</v>
      </c>
      <c r="G7">
        <v>1000</v>
      </c>
      <c r="I7">
        <v>1100</v>
      </c>
      <c r="J7">
        <v>120</v>
      </c>
      <c r="L7">
        <v>4028390.4144806201</v>
      </c>
      <c r="M7">
        <v>2447</v>
      </c>
    </row>
    <row r="8" spans="2:13">
      <c r="B8">
        <v>91822</v>
      </c>
      <c r="C8">
        <v>7030</v>
      </c>
      <c r="D8" t="s">
        <v>33</v>
      </c>
      <c r="E8" t="s">
        <v>13</v>
      </c>
      <c r="F8" t="s">
        <v>249</v>
      </c>
      <c r="G8">
        <v>900</v>
      </c>
      <c r="I8">
        <v>800</v>
      </c>
      <c r="J8">
        <v>100</v>
      </c>
      <c r="K8" t="s">
        <v>250</v>
      </c>
      <c r="L8">
        <v>3786286.5905817901</v>
      </c>
      <c r="M8">
        <v>1138</v>
      </c>
    </row>
    <row r="9" spans="2:13">
      <c r="B9">
        <v>154219</v>
      </c>
      <c r="C9">
        <v>7090</v>
      </c>
      <c r="D9" t="s">
        <v>34</v>
      </c>
      <c r="E9" t="s">
        <v>13</v>
      </c>
      <c r="F9" t="s">
        <v>249</v>
      </c>
      <c r="G9">
        <v>2000</v>
      </c>
      <c r="I9">
        <v>1100</v>
      </c>
      <c r="J9">
        <v>120</v>
      </c>
      <c r="L9">
        <v>8147541.94938468</v>
      </c>
      <c r="M9">
        <v>3765</v>
      </c>
    </row>
    <row r="10" spans="2:13">
      <c r="B10">
        <v>91830</v>
      </c>
      <c r="C10">
        <v>7095</v>
      </c>
      <c r="D10" t="s">
        <v>35</v>
      </c>
      <c r="E10" t="s">
        <v>13</v>
      </c>
      <c r="F10" t="s">
        <v>249</v>
      </c>
      <c r="G10">
        <v>1980</v>
      </c>
      <c r="I10">
        <v>1200</v>
      </c>
      <c r="J10">
        <v>120</v>
      </c>
      <c r="L10">
        <v>4630484.4550378704</v>
      </c>
      <c r="M10">
        <v>1220</v>
      </c>
    </row>
    <row r="11" spans="2:13">
      <c r="B11">
        <v>90229</v>
      </c>
      <c r="C11">
        <v>7170</v>
      </c>
      <c r="D11" t="s">
        <v>36</v>
      </c>
      <c r="E11" t="s">
        <v>13</v>
      </c>
      <c r="F11" t="s">
        <v>249</v>
      </c>
      <c r="G11">
        <v>1450</v>
      </c>
      <c r="I11">
        <v>420</v>
      </c>
      <c r="J11">
        <v>80</v>
      </c>
      <c r="L11">
        <v>5019913.4543942604</v>
      </c>
      <c r="M11">
        <v>1694</v>
      </c>
    </row>
    <row r="12" spans="2:13">
      <c r="B12">
        <v>90551</v>
      </c>
      <c r="C12">
        <v>7215</v>
      </c>
      <c r="D12" t="s">
        <v>37</v>
      </c>
      <c r="E12" t="s">
        <v>13</v>
      </c>
      <c r="F12" t="s">
        <v>249</v>
      </c>
      <c r="I12">
        <v>160</v>
      </c>
      <c r="L12">
        <v>143596.802871825</v>
      </c>
      <c r="M12">
        <v>3355.4861179319901</v>
      </c>
    </row>
    <row r="13" spans="2:13">
      <c r="B13">
        <v>90550</v>
      </c>
      <c r="C13">
        <v>7215</v>
      </c>
      <c r="D13" t="s">
        <v>37</v>
      </c>
      <c r="E13" t="s">
        <v>13</v>
      </c>
      <c r="F13" t="s">
        <v>249</v>
      </c>
      <c r="I13">
        <v>160</v>
      </c>
      <c r="L13">
        <v>421364.81053429999</v>
      </c>
      <c r="M13">
        <v>2943.4176378944899</v>
      </c>
    </row>
    <row r="14" spans="2:13">
      <c r="B14">
        <v>94413</v>
      </c>
      <c r="C14">
        <v>7240</v>
      </c>
      <c r="D14" t="s">
        <v>38</v>
      </c>
      <c r="E14" t="s">
        <v>13</v>
      </c>
      <c r="F14" t="s">
        <v>249</v>
      </c>
      <c r="G14">
        <v>1300</v>
      </c>
      <c r="H14">
        <v>800</v>
      </c>
      <c r="I14">
        <v>400</v>
      </c>
      <c r="J14">
        <v>100</v>
      </c>
      <c r="L14">
        <v>259616.65427473499</v>
      </c>
      <c r="M14">
        <v>2799.1513977919799</v>
      </c>
    </row>
    <row r="15" spans="2:13">
      <c r="B15">
        <v>94408</v>
      </c>
      <c r="C15">
        <v>7240</v>
      </c>
      <c r="D15" t="s">
        <v>38</v>
      </c>
      <c r="E15" t="s">
        <v>13</v>
      </c>
      <c r="F15" t="s">
        <v>249</v>
      </c>
      <c r="G15">
        <v>1300</v>
      </c>
      <c r="H15">
        <v>800</v>
      </c>
      <c r="I15">
        <v>400</v>
      </c>
      <c r="J15">
        <v>100</v>
      </c>
      <c r="L15">
        <v>68509.042987139997</v>
      </c>
      <c r="M15">
        <v>1203.8706315279601</v>
      </c>
    </row>
    <row r="16" spans="2:13">
      <c r="B16">
        <v>94412</v>
      </c>
      <c r="C16">
        <v>7240</v>
      </c>
      <c r="D16" t="s">
        <v>38</v>
      </c>
      <c r="E16" t="s">
        <v>13</v>
      </c>
      <c r="F16" t="s">
        <v>249</v>
      </c>
      <c r="G16">
        <v>1300</v>
      </c>
      <c r="H16">
        <v>800</v>
      </c>
      <c r="I16">
        <v>400</v>
      </c>
      <c r="J16">
        <v>100</v>
      </c>
      <c r="L16">
        <v>766310.182518385</v>
      </c>
      <c r="M16">
        <v>4367.4752746816703</v>
      </c>
    </row>
    <row r="17" spans="2:13">
      <c r="B17">
        <v>94410</v>
      </c>
      <c r="C17">
        <v>7240</v>
      </c>
      <c r="D17" t="s">
        <v>38</v>
      </c>
      <c r="E17" t="s">
        <v>13</v>
      </c>
      <c r="F17" t="s">
        <v>249</v>
      </c>
      <c r="G17">
        <v>1300</v>
      </c>
      <c r="H17">
        <v>800</v>
      </c>
      <c r="I17">
        <v>400</v>
      </c>
      <c r="J17">
        <v>100</v>
      </c>
      <c r="L17">
        <v>644884.23766028497</v>
      </c>
      <c r="M17">
        <v>3214.6448017709499</v>
      </c>
    </row>
    <row r="18" spans="2:13">
      <c r="B18">
        <v>94415</v>
      </c>
      <c r="C18">
        <v>7240</v>
      </c>
      <c r="D18" t="s">
        <v>38</v>
      </c>
      <c r="E18" t="s">
        <v>13</v>
      </c>
      <c r="F18" t="s">
        <v>249</v>
      </c>
      <c r="G18">
        <v>1300</v>
      </c>
      <c r="H18">
        <v>800</v>
      </c>
      <c r="I18">
        <v>400</v>
      </c>
      <c r="J18">
        <v>100</v>
      </c>
      <c r="L18">
        <v>2289499.0451161498</v>
      </c>
      <c r="M18">
        <v>1062</v>
      </c>
    </row>
    <row r="19" spans="2:13">
      <c r="B19">
        <v>94411</v>
      </c>
      <c r="C19">
        <v>7240</v>
      </c>
      <c r="D19" t="s">
        <v>38</v>
      </c>
      <c r="E19" t="s">
        <v>13</v>
      </c>
      <c r="F19" t="s">
        <v>249</v>
      </c>
      <c r="G19">
        <v>1300</v>
      </c>
      <c r="H19">
        <v>800</v>
      </c>
      <c r="I19">
        <v>400</v>
      </c>
      <c r="J19">
        <v>100</v>
      </c>
      <c r="L19">
        <v>302471.40077612503</v>
      </c>
      <c r="M19">
        <v>3019.7712662685099</v>
      </c>
    </row>
    <row r="20" spans="2:13">
      <c r="B20">
        <v>94414</v>
      </c>
      <c r="C20">
        <v>7240</v>
      </c>
      <c r="D20" t="s">
        <v>38</v>
      </c>
      <c r="E20" t="s">
        <v>13</v>
      </c>
      <c r="F20" t="s">
        <v>249</v>
      </c>
      <c r="G20">
        <v>1300</v>
      </c>
      <c r="H20">
        <v>800</v>
      </c>
      <c r="I20">
        <v>400</v>
      </c>
      <c r="J20">
        <v>100</v>
      </c>
      <c r="L20">
        <v>100995.19351124</v>
      </c>
      <c r="M20">
        <v>1592.26119085046</v>
      </c>
    </row>
    <row r="21" spans="2:13">
      <c r="B21">
        <v>94409</v>
      </c>
      <c r="C21">
        <v>7240</v>
      </c>
      <c r="D21" t="s">
        <v>38</v>
      </c>
      <c r="E21" t="s">
        <v>13</v>
      </c>
      <c r="F21" t="s">
        <v>249</v>
      </c>
      <c r="G21">
        <v>1300</v>
      </c>
      <c r="H21">
        <v>800</v>
      </c>
      <c r="I21">
        <v>400</v>
      </c>
      <c r="J21">
        <v>100</v>
      </c>
      <c r="L21">
        <v>824245.58927295997</v>
      </c>
      <c r="M21">
        <v>4322.2014746078303</v>
      </c>
    </row>
    <row r="22" spans="2:13">
      <c r="B22">
        <v>91828</v>
      </c>
      <c r="C22">
        <v>7250</v>
      </c>
      <c r="D22" t="s">
        <v>39</v>
      </c>
      <c r="E22" t="s">
        <v>13</v>
      </c>
      <c r="F22" t="s">
        <v>249</v>
      </c>
      <c r="G22">
        <v>3500</v>
      </c>
      <c r="I22">
        <v>2380</v>
      </c>
      <c r="J22">
        <v>200</v>
      </c>
      <c r="L22">
        <v>1275915</v>
      </c>
      <c r="M22">
        <v>2234</v>
      </c>
    </row>
    <row r="23" spans="2:13">
      <c r="B23">
        <v>91828</v>
      </c>
      <c r="C23">
        <v>7250</v>
      </c>
      <c r="D23" t="s">
        <v>39</v>
      </c>
      <c r="E23" t="s">
        <v>13</v>
      </c>
      <c r="F23" t="s">
        <v>249</v>
      </c>
      <c r="G23">
        <v>3500</v>
      </c>
      <c r="I23">
        <v>2380</v>
      </c>
      <c r="J23">
        <v>200</v>
      </c>
      <c r="L23">
        <v>1275915</v>
      </c>
      <c r="M23">
        <v>2234</v>
      </c>
    </row>
    <row r="24" spans="2:13">
      <c r="B24">
        <v>91829</v>
      </c>
      <c r="C24">
        <v>7250</v>
      </c>
      <c r="D24" t="s">
        <v>39</v>
      </c>
      <c r="E24" t="s">
        <v>13</v>
      </c>
      <c r="F24" t="s">
        <v>249</v>
      </c>
      <c r="G24">
        <v>3500</v>
      </c>
      <c r="I24">
        <v>2380</v>
      </c>
      <c r="J24">
        <v>200</v>
      </c>
      <c r="L24">
        <v>1571689.39370982</v>
      </c>
      <c r="M24">
        <v>6438.0664315887898</v>
      </c>
    </row>
    <row r="25" spans="2:13">
      <c r="B25">
        <v>91829</v>
      </c>
      <c r="C25">
        <v>7250</v>
      </c>
      <c r="D25" t="s">
        <v>39</v>
      </c>
      <c r="E25" t="s">
        <v>13</v>
      </c>
      <c r="F25" t="s">
        <v>249</v>
      </c>
      <c r="G25">
        <v>3500</v>
      </c>
      <c r="I25">
        <v>2380</v>
      </c>
      <c r="J25">
        <v>200</v>
      </c>
      <c r="L25">
        <v>1571689.39370982</v>
      </c>
      <c r="M25">
        <v>6438.0664315887898</v>
      </c>
    </row>
    <row r="26" spans="2:13">
      <c r="B26">
        <v>89906</v>
      </c>
      <c r="C26">
        <v>7710</v>
      </c>
      <c r="D26" t="s">
        <v>40</v>
      </c>
      <c r="E26" t="s">
        <v>13</v>
      </c>
      <c r="F26" t="s">
        <v>249</v>
      </c>
      <c r="G26">
        <v>750</v>
      </c>
      <c r="H26">
        <v>440</v>
      </c>
      <c r="I26">
        <v>420</v>
      </c>
      <c r="J26">
        <v>40</v>
      </c>
      <c r="K26" t="s">
        <v>251</v>
      </c>
      <c r="L26">
        <v>163771.90984512499</v>
      </c>
      <c r="M26">
        <v>1620.8627323363401</v>
      </c>
    </row>
    <row r="27" spans="2:13">
      <c r="B27">
        <v>89907</v>
      </c>
      <c r="C27">
        <v>7710</v>
      </c>
      <c r="D27" t="s">
        <v>40</v>
      </c>
      <c r="E27" t="s">
        <v>13</v>
      </c>
      <c r="F27" t="s">
        <v>249</v>
      </c>
      <c r="G27">
        <v>750</v>
      </c>
      <c r="H27">
        <v>440</v>
      </c>
      <c r="I27">
        <v>420</v>
      </c>
      <c r="J27">
        <v>40</v>
      </c>
      <c r="K27" t="s">
        <v>251</v>
      </c>
      <c r="L27">
        <v>173564.10653573001</v>
      </c>
      <c r="M27">
        <v>1670.93600563419</v>
      </c>
    </row>
    <row r="28" spans="2:13">
      <c r="B28">
        <v>89913</v>
      </c>
      <c r="C28">
        <v>7710</v>
      </c>
      <c r="D28" t="s">
        <v>40</v>
      </c>
      <c r="E28" t="s">
        <v>13</v>
      </c>
      <c r="F28" t="s">
        <v>249</v>
      </c>
      <c r="G28">
        <v>750</v>
      </c>
      <c r="H28">
        <v>440</v>
      </c>
      <c r="I28">
        <v>420</v>
      </c>
      <c r="J28">
        <v>40</v>
      </c>
      <c r="K28" t="s">
        <v>251</v>
      </c>
      <c r="L28">
        <v>204655.56066283499</v>
      </c>
      <c r="M28">
        <v>1856.8805087635101</v>
      </c>
    </row>
    <row r="29" spans="2:13">
      <c r="B29">
        <v>90220</v>
      </c>
      <c r="C29">
        <v>7710</v>
      </c>
      <c r="D29" t="s">
        <v>40</v>
      </c>
      <c r="E29" t="s">
        <v>13</v>
      </c>
      <c r="F29" t="s">
        <v>249</v>
      </c>
      <c r="G29">
        <v>750</v>
      </c>
      <c r="H29">
        <v>440</v>
      </c>
      <c r="I29">
        <v>420</v>
      </c>
      <c r="J29">
        <v>40</v>
      </c>
      <c r="K29" t="s">
        <v>251</v>
      </c>
      <c r="L29">
        <v>1420072.06350404</v>
      </c>
      <c r="M29">
        <v>9744.9006893269707</v>
      </c>
    </row>
    <row r="30" spans="2:13">
      <c r="B30">
        <v>89908</v>
      </c>
      <c r="C30">
        <v>7710</v>
      </c>
      <c r="D30" t="s">
        <v>40</v>
      </c>
      <c r="E30" t="s">
        <v>13</v>
      </c>
      <c r="F30" t="s">
        <v>249</v>
      </c>
      <c r="G30">
        <v>750</v>
      </c>
      <c r="H30">
        <v>440</v>
      </c>
      <c r="I30">
        <v>420</v>
      </c>
      <c r="J30">
        <v>40</v>
      </c>
      <c r="K30" t="s">
        <v>251</v>
      </c>
      <c r="L30">
        <v>478115.874330875</v>
      </c>
      <c r="M30">
        <v>3883.3518817641202</v>
      </c>
    </row>
    <row r="31" spans="2:13">
      <c r="B31">
        <v>89905</v>
      </c>
      <c r="C31">
        <v>7710</v>
      </c>
      <c r="D31" t="s">
        <v>40</v>
      </c>
      <c r="E31" t="s">
        <v>13</v>
      </c>
      <c r="F31" t="s">
        <v>249</v>
      </c>
      <c r="G31">
        <v>750</v>
      </c>
      <c r="H31">
        <v>440</v>
      </c>
      <c r="I31">
        <v>420</v>
      </c>
      <c r="J31">
        <v>40</v>
      </c>
      <c r="K31" t="s">
        <v>251</v>
      </c>
      <c r="L31">
        <v>475683.22828820499</v>
      </c>
      <c r="M31">
        <v>4948.6646886741401</v>
      </c>
    </row>
    <row r="32" spans="2:13">
      <c r="B32">
        <v>90221</v>
      </c>
      <c r="C32">
        <v>7710</v>
      </c>
      <c r="D32" t="s">
        <v>40</v>
      </c>
      <c r="E32" t="s">
        <v>13</v>
      </c>
      <c r="F32" t="s">
        <v>249</v>
      </c>
      <c r="G32">
        <v>750</v>
      </c>
      <c r="H32">
        <v>440</v>
      </c>
      <c r="I32">
        <v>420</v>
      </c>
      <c r="J32">
        <v>40</v>
      </c>
      <c r="K32" t="s">
        <v>251</v>
      </c>
      <c r="L32">
        <v>351631.38672653498</v>
      </c>
      <c r="M32">
        <v>6498.7500005996799</v>
      </c>
    </row>
    <row r="33" spans="2:13">
      <c r="B33">
        <v>89911</v>
      </c>
      <c r="C33">
        <v>7710</v>
      </c>
      <c r="D33" t="s">
        <v>40</v>
      </c>
      <c r="E33" t="s">
        <v>13</v>
      </c>
      <c r="F33" t="s">
        <v>249</v>
      </c>
      <c r="G33">
        <v>750</v>
      </c>
      <c r="H33">
        <v>440</v>
      </c>
      <c r="I33">
        <v>420</v>
      </c>
      <c r="J33">
        <v>40</v>
      </c>
      <c r="K33" t="s">
        <v>251</v>
      </c>
      <c r="L33">
        <v>902879.41539624997</v>
      </c>
      <c r="M33">
        <v>6196.4400548368103</v>
      </c>
    </row>
    <row r="34" spans="2:13">
      <c r="B34">
        <v>89909</v>
      </c>
      <c r="C34">
        <v>7710</v>
      </c>
      <c r="D34" t="s">
        <v>40</v>
      </c>
      <c r="E34" t="s">
        <v>13</v>
      </c>
      <c r="F34" t="s">
        <v>249</v>
      </c>
      <c r="G34">
        <v>750</v>
      </c>
      <c r="H34">
        <v>440</v>
      </c>
      <c r="I34">
        <v>420</v>
      </c>
      <c r="J34">
        <v>40</v>
      </c>
      <c r="K34" t="s">
        <v>251</v>
      </c>
      <c r="L34">
        <v>403343.58576268499</v>
      </c>
      <c r="M34">
        <v>2655.36453756213</v>
      </c>
    </row>
    <row r="35" spans="2:13">
      <c r="B35">
        <v>90218</v>
      </c>
      <c r="C35">
        <v>7710</v>
      </c>
      <c r="D35" t="s">
        <v>40</v>
      </c>
      <c r="E35" t="s">
        <v>13</v>
      </c>
      <c r="F35" t="s">
        <v>249</v>
      </c>
      <c r="G35">
        <v>750</v>
      </c>
      <c r="H35">
        <v>440</v>
      </c>
      <c r="I35">
        <v>420</v>
      </c>
      <c r="J35">
        <v>40</v>
      </c>
      <c r="K35" t="s">
        <v>251</v>
      </c>
      <c r="L35">
        <v>1847768.79735349</v>
      </c>
      <c r="M35">
        <v>8955.2744373762507</v>
      </c>
    </row>
    <row r="36" spans="2:13">
      <c r="B36">
        <v>91831</v>
      </c>
      <c r="C36">
        <v>7370</v>
      </c>
      <c r="D36" t="s">
        <v>41</v>
      </c>
      <c r="E36" t="s">
        <v>13</v>
      </c>
      <c r="F36" t="s">
        <v>249</v>
      </c>
      <c r="G36">
        <v>1668</v>
      </c>
      <c r="I36">
        <v>860</v>
      </c>
      <c r="J36">
        <v>80</v>
      </c>
      <c r="L36">
        <v>197285.04803532999</v>
      </c>
      <c r="M36">
        <v>1806.3693662693699</v>
      </c>
    </row>
    <row r="37" spans="2:13">
      <c r="B37">
        <v>91832</v>
      </c>
      <c r="C37">
        <v>7370</v>
      </c>
      <c r="D37" t="s">
        <v>41</v>
      </c>
      <c r="E37" t="s">
        <v>13</v>
      </c>
      <c r="F37" t="s">
        <v>249</v>
      </c>
      <c r="G37">
        <v>1668</v>
      </c>
      <c r="I37">
        <v>860</v>
      </c>
      <c r="J37">
        <v>80</v>
      </c>
      <c r="L37">
        <v>3321597.1918545798</v>
      </c>
      <c r="M37">
        <v>9053.3380104053595</v>
      </c>
    </row>
    <row r="38" spans="2:13">
      <c r="B38">
        <v>137578</v>
      </c>
      <c r="C38">
        <v>790</v>
      </c>
      <c r="D38" t="s">
        <v>42</v>
      </c>
      <c r="E38" t="s">
        <v>13</v>
      </c>
      <c r="F38" t="s">
        <v>249</v>
      </c>
      <c r="G38">
        <v>300</v>
      </c>
      <c r="I38">
        <v>140</v>
      </c>
      <c r="J38">
        <v>20</v>
      </c>
      <c r="L38">
        <v>1185326.18966007</v>
      </c>
      <c r="M38">
        <v>7161.05324972771</v>
      </c>
    </row>
    <row r="39" spans="2:13">
      <c r="B39">
        <v>94066</v>
      </c>
      <c r="C39">
        <v>7430</v>
      </c>
      <c r="D39" t="s">
        <v>43</v>
      </c>
      <c r="E39" t="s">
        <v>14</v>
      </c>
      <c r="F39" t="s">
        <v>249</v>
      </c>
      <c r="G39">
        <v>1500</v>
      </c>
      <c r="H39">
        <v>840</v>
      </c>
      <c r="I39">
        <v>800</v>
      </c>
      <c r="L39">
        <v>1369866</v>
      </c>
      <c r="M39">
        <v>2123</v>
      </c>
    </row>
    <row r="40" spans="2:13">
      <c r="B40">
        <v>129258</v>
      </c>
      <c r="C40">
        <v>7450</v>
      </c>
      <c r="D40" t="s">
        <v>44</v>
      </c>
      <c r="E40" t="s">
        <v>13</v>
      </c>
      <c r="F40" t="s">
        <v>249</v>
      </c>
      <c r="G40">
        <v>2800</v>
      </c>
      <c r="I40">
        <v>1640</v>
      </c>
      <c r="J40">
        <v>180</v>
      </c>
      <c r="L40">
        <v>2586323</v>
      </c>
      <c r="M40">
        <v>3266</v>
      </c>
    </row>
    <row r="41" spans="2:13">
      <c r="B41">
        <v>154220</v>
      </c>
      <c r="C41">
        <v>7460</v>
      </c>
      <c r="D41" t="s">
        <v>45</v>
      </c>
      <c r="E41" t="s">
        <v>13</v>
      </c>
      <c r="F41" t="s">
        <v>249</v>
      </c>
      <c r="G41">
        <v>900</v>
      </c>
      <c r="I41">
        <v>2000</v>
      </c>
      <c r="J41">
        <v>180</v>
      </c>
      <c r="L41">
        <v>3634190.36779554</v>
      </c>
      <c r="M41">
        <v>1468</v>
      </c>
    </row>
    <row r="42" spans="2:13">
      <c r="B42">
        <v>112939</v>
      </c>
      <c r="C42">
        <v>10049</v>
      </c>
      <c r="D42" t="s">
        <v>46</v>
      </c>
      <c r="E42" t="s">
        <v>13</v>
      </c>
      <c r="F42" t="s">
        <v>249</v>
      </c>
      <c r="G42">
        <v>400</v>
      </c>
      <c r="I42">
        <v>240</v>
      </c>
      <c r="J42">
        <v>60</v>
      </c>
      <c r="L42">
        <v>1433175.97969976</v>
      </c>
      <c r="M42">
        <v>6634.8570948488496</v>
      </c>
    </row>
    <row r="43" spans="2:13">
      <c r="B43">
        <v>112940</v>
      </c>
      <c r="C43">
        <v>10049</v>
      </c>
      <c r="D43" t="s">
        <v>46</v>
      </c>
      <c r="E43" t="s">
        <v>13</v>
      </c>
      <c r="F43" t="s">
        <v>249</v>
      </c>
      <c r="G43">
        <v>400</v>
      </c>
      <c r="I43">
        <v>240</v>
      </c>
      <c r="J43">
        <v>60</v>
      </c>
      <c r="L43">
        <v>3075323.9073264701</v>
      </c>
      <c r="M43">
        <v>1370</v>
      </c>
    </row>
    <row r="44" spans="2:13">
      <c r="B44">
        <v>116458</v>
      </c>
      <c r="C44">
        <v>10107</v>
      </c>
      <c r="D44" t="s">
        <v>46</v>
      </c>
      <c r="E44" t="s">
        <v>13</v>
      </c>
      <c r="F44" t="s">
        <v>249</v>
      </c>
      <c r="G44">
        <v>200</v>
      </c>
      <c r="I44">
        <v>120</v>
      </c>
      <c r="J44">
        <v>20</v>
      </c>
      <c r="L44">
        <v>252573.85852069</v>
      </c>
      <c r="M44">
        <v>2198.2822253550898</v>
      </c>
    </row>
    <row r="45" spans="2:13">
      <c r="B45">
        <v>116459</v>
      </c>
      <c r="C45">
        <v>10107</v>
      </c>
      <c r="D45" t="s">
        <v>46</v>
      </c>
      <c r="E45" t="s">
        <v>13</v>
      </c>
      <c r="F45" t="s">
        <v>249</v>
      </c>
      <c r="G45">
        <v>200</v>
      </c>
      <c r="I45">
        <v>120</v>
      </c>
      <c r="J45">
        <v>20</v>
      </c>
      <c r="L45">
        <v>372124.77468935499</v>
      </c>
      <c r="M45">
        <v>3080.5070834182302</v>
      </c>
    </row>
    <row r="46" spans="2:13">
      <c r="B46">
        <v>116460</v>
      </c>
      <c r="C46">
        <v>10107</v>
      </c>
      <c r="D46" t="s">
        <v>46</v>
      </c>
      <c r="E46" t="s">
        <v>13</v>
      </c>
      <c r="F46" t="s">
        <v>249</v>
      </c>
      <c r="G46">
        <v>200</v>
      </c>
      <c r="I46">
        <v>120</v>
      </c>
      <c r="J46">
        <v>20</v>
      </c>
      <c r="L46">
        <v>1745960.28197449</v>
      </c>
      <c r="M46">
        <v>6698.2563512527804</v>
      </c>
    </row>
    <row r="47" spans="2:13">
      <c r="B47">
        <v>92148</v>
      </c>
      <c r="C47">
        <v>10145</v>
      </c>
      <c r="D47" t="s">
        <v>46</v>
      </c>
      <c r="E47" t="s">
        <v>13</v>
      </c>
      <c r="F47" t="s">
        <v>249</v>
      </c>
      <c r="G47">
        <v>120</v>
      </c>
      <c r="I47">
        <v>80</v>
      </c>
      <c r="J47">
        <v>20</v>
      </c>
      <c r="L47">
        <v>314085.27446591499</v>
      </c>
      <c r="M47">
        <v>3023.3411710144801</v>
      </c>
    </row>
    <row r="48" spans="2:13">
      <c r="B48">
        <v>154538</v>
      </c>
      <c r="C48">
        <v>7494</v>
      </c>
      <c r="D48" t="s">
        <v>47</v>
      </c>
      <c r="E48" t="s">
        <v>13</v>
      </c>
      <c r="F48" t="s">
        <v>249</v>
      </c>
      <c r="G48">
        <v>4741</v>
      </c>
      <c r="I48">
        <v>2000</v>
      </c>
      <c r="J48">
        <v>180</v>
      </c>
      <c r="L48">
        <v>1918687</v>
      </c>
      <c r="M48">
        <v>9108</v>
      </c>
    </row>
    <row r="49" spans="2:13">
      <c r="B49">
        <v>94708</v>
      </c>
      <c r="C49">
        <v>7510</v>
      </c>
      <c r="D49" t="s">
        <v>48</v>
      </c>
      <c r="E49" t="s">
        <v>13</v>
      </c>
      <c r="F49" t="s">
        <v>249</v>
      </c>
      <c r="G49">
        <v>1600</v>
      </c>
      <c r="I49">
        <v>740</v>
      </c>
      <c r="J49">
        <v>100</v>
      </c>
      <c r="L49">
        <v>7477018.8759854604</v>
      </c>
      <c r="M49">
        <v>2659</v>
      </c>
    </row>
    <row r="50" spans="2:13">
      <c r="B50">
        <v>153578</v>
      </c>
      <c r="C50">
        <v>7520</v>
      </c>
      <c r="D50" t="s">
        <v>49</v>
      </c>
      <c r="E50" t="s">
        <v>13</v>
      </c>
      <c r="F50" t="s">
        <v>249</v>
      </c>
      <c r="G50">
        <v>200</v>
      </c>
      <c r="H50">
        <v>40</v>
      </c>
      <c r="I50">
        <v>40</v>
      </c>
      <c r="J50">
        <v>40</v>
      </c>
      <c r="K50" t="s">
        <v>252</v>
      </c>
      <c r="L50">
        <v>144525.51317463999</v>
      </c>
      <c r="M50">
        <v>1619.84715302583</v>
      </c>
    </row>
    <row r="51" spans="2:13">
      <c r="B51">
        <v>153579</v>
      </c>
      <c r="C51">
        <v>7520</v>
      </c>
      <c r="D51" t="s">
        <v>49</v>
      </c>
      <c r="E51" t="s">
        <v>13</v>
      </c>
      <c r="F51" t="s">
        <v>249</v>
      </c>
      <c r="G51">
        <v>200</v>
      </c>
      <c r="H51">
        <v>40</v>
      </c>
      <c r="I51">
        <v>40</v>
      </c>
      <c r="J51">
        <v>40</v>
      </c>
      <c r="K51" t="s">
        <v>252</v>
      </c>
      <c r="L51">
        <v>1056158.7430897099</v>
      </c>
      <c r="M51">
        <v>4266.1710088049203</v>
      </c>
    </row>
    <row r="52" spans="2:13">
      <c r="B52">
        <v>96619</v>
      </c>
      <c r="C52">
        <v>7534</v>
      </c>
      <c r="D52" t="s">
        <v>50</v>
      </c>
      <c r="E52" t="s">
        <v>13</v>
      </c>
      <c r="F52" t="s">
        <v>249</v>
      </c>
      <c r="G52">
        <v>300</v>
      </c>
      <c r="I52">
        <v>160</v>
      </c>
      <c r="J52">
        <v>40</v>
      </c>
      <c r="K52" t="s">
        <v>253</v>
      </c>
      <c r="L52">
        <v>2720296.6550504901</v>
      </c>
      <c r="M52">
        <v>1312</v>
      </c>
    </row>
    <row r="53" spans="2:13">
      <c r="B53">
        <v>96619</v>
      </c>
      <c r="C53">
        <v>7534</v>
      </c>
      <c r="D53" t="s">
        <v>50</v>
      </c>
      <c r="E53" t="s">
        <v>13</v>
      </c>
      <c r="F53" t="s">
        <v>249</v>
      </c>
      <c r="G53">
        <v>1200</v>
      </c>
      <c r="I53">
        <v>610</v>
      </c>
      <c r="J53">
        <v>140</v>
      </c>
      <c r="K53" t="s">
        <v>254</v>
      </c>
      <c r="L53">
        <v>2720296.6550504901</v>
      </c>
      <c r="M53">
        <v>1312</v>
      </c>
    </row>
    <row r="54" spans="2:13">
      <c r="B54">
        <v>96625</v>
      </c>
      <c r="C54">
        <v>7534</v>
      </c>
      <c r="D54" t="s">
        <v>50</v>
      </c>
      <c r="E54" t="s">
        <v>13</v>
      </c>
      <c r="F54" t="s">
        <v>249</v>
      </c>
      <c r="G54">
        <v>300</v>
      </c>
      <c r="I54">
        <v>160</v>
      </c>
      <c r="J54">
        <v>40</v>
      </c>
      <c r="K54" t="s">
        <v>253</v>
      </c>
      <c r="L54">
        <v>710119.41709284997</v>
      </c>
      <c r="M54">
        <v>3860.9446153685499</v>
      </c>
    </row>
    <row r="55" spans="2:13">
      <c r="B55">
        <v>96625</v>
      </c>
      <c r="C55">
        <v>7534</v>
      </c>
      <c r="D55" t="s">
        <v>50</v>
      </c>
      <c r="E55" t="s">
        <v>13</v>
      </c>
      <c r="F55" t="s">
        <v>249</v>
      </c>
      <c r="G55">
        <v>1200</v>
      </c>
      <c r="I55">
        <v>610</v>
      </c>
      <c r="J55">
        <v>140</v>
      </c>
      <c r="K55" t="s">
        <v>254</v>
      </c>
      <c r="L55">
        <v>710119.41709284997</v>
      </c>
      <c r="M55">
        <v>3860.9446153685499</v>
      </c>
    </row>
    <row r="56" spans="2:13">
      <c r="B56">
        <v>96622</v>
      </c>
      <c r="C56">
        <v>7534</v>
      </c>
      <c r="D56" t="s">
        <v>50</v>
      </c>
      <c r="E56" t="s">
        <v>13</v>
      </c>
      <c r="F56" t="s">
        <v>249</v>
      </c>
      <c r="G56">
        <v>300</v>
      </c>
      <c r="I56">
        <v>160</v>
      </c>
      <c r="J56">
        <v>40</v>
      </c>
      <c r="K56" t="s">
        <v>253</v>
      </c>
      <c r="L56">
        <v>3223527.6683243699</v>
      </c>
      <c r="M56">
        <v>1369</v>
      </c>
    </row>
    <row r="57" spans="2:13">
      <c r="B57">
        <v>96622</v>
      </c>
      <c r="C57">
        <v>7534</v>
      </c>
      <c r="D57" t="s">
        <v>50</v>
      </c>
      <c r="E57" t="s">
        <v>13</v>
      </c>
      <c r="F57" t="s">
        <v>249</v>
      </c>
      <c r="G57">
        <v>1200</v>
      </c>
      <c r="I57">
        <v>610</v>
      </c>
      <c r="J57">
        <v>140</v>
      </c>
      <c r="K57" t="s">
        <v>254</v>
      </c>
      <c r="L57">
        <v>3223527.6683243699</v>
      </c>
      <c r="M57">
        <v>1369</v>
      </c>
    </row>
    <row r="58" spans="2:13">
      <c r="B58">
        <v>112618</v>
      </c>
      <c r="C58">
        <v>7534</v>
      </c>
      <c r="D58" t="s">
        <v>50</v>
      </c>
      <c r="E58" t="s">
        <v>13</v>
      </c>
      <c r="F58" t="s">
        <v>249</v>
      </c>
      <c r="G58">
        <v>300</v>
      </c>
      <c r="I58">
        <v>160</v>
      </c>
      <c r="J58">
        <v>40</v>
      </c>
      <c r="K58" t="s">
        <v>253</v>
      </c>
      <c r="L58">
        <v>1633986.23824408</v>
      </c>
      <c r="M58">
        <v>7538.3924466545204</v>
      </c>
    </row>
    <row r="59" spans="2:13">
      <c r="B59">
        <v>112618</v>
      </c>
      <c r="C59">
        <v>7534</v>
      </c>
      <c r="D59" t="s">
        <v>50</v>
      </c>
      <c r="E59" t="s">
        <v>13</v>
      </c>
      <c r="F59" t="s">
        <v>249</v>
      </c>
      <c r="G59">
        <v>1200</v>
      </c>
      <c r="I59">
        <v>610</v>
      </c>
      <c r="J59">
        <v>140</v>
      </c>
      <c r="K59" t="s">
        <v>254</v>
      </c>
      <c r="L59">
        <v>1633986.23824408</v>
      </c>
      <c r="M59">
        <v>7538.3924466545204</v>
      </c>
    </row>
    <row r="60" spans="2:13">
      <c r="B60">
        <v>96626</v>
      </c>
      <c r="C60">
        <v>7534</v>
      </c>
      <c r="D60" t="s">
        <v>50</v>
      </c>
      <c r="E60" t="s">
        <v>13</v>
      </c>
      <c r="F60" t="s">
        <v>249</v>
      </c>
      <c r="G60">
        <v>300</v>
      </c>
      <c r="I60">
        <v>160</v>
      </c>
      <c r="J60">
        <v>40</v>
      </c>
      <c r="K60" t="s">
        <v>253</v>
      </c>
      <c r="L60">
        <v>949680.14779487997</v>
      </c>
      <c r="M60">
        <v>6087.2297779106302</v>
      </c>
    </row>
    <row r="61" spans="2:13">
      <c r="B61">
        <v>96626</v>
      </c>
      <c r="C61">
        <v>7534</v>
      </c>
      <c r="D61" t="s">
        <v>50</v>
      </c>
      <c r="E61" t="s">
        <v>13</v>
      </c>
      <c r="F61" t="s">
        <v>249</v>
      </c>
      <c r="G61">
        <v>1200</v>
      </c>
      <c r="I61">
        <v>610</v>
      </c>
      <c r="J61">
        <v>140</v>
      </c>
      <c r="K61" t="s">
        <v>254</v>
      </c>
      <c r="L61">
        <v>949680.14779487997</v>
      </c>
      <c r="M61">
        <v>6087.2297779106302</v>
      </c>
    </row>
    <row r="62" spans="2:13">
      <c r="B62">
        <v>96628</v>
      </c>
      <c r="C62">
        <v>7535</v>
      </c>
      <c r="D62" t="s">
        <v>50</v>
      </c>
      <c r="E62" t="s">
        <v>14</v>
      </c>
      <c r="F62" t="s">
        <v>249</v>
      </c>
      <c r="G62">
        <v>398</v>
      </c>
      <c r="I62">
        <v>180</v>
      </c>
      <c r="J62">
        <v>40</v>
      </c>
      <c r="K62" t="s">
        <v>255</v>
      </c>
      <c r="L62">
        <v>959274.91538170504</v>
      </c>
      <c r="M62">
        <v>6089.7284811811996</v>
      </c>
    </row>
    <row r="63" spans="2:13">
      <c r="B63">
        <v>96621</v>
      </c>
      <c r="C63">
        <v>7535</v>
      </c>
      <c r="D63" t="s">
        <v>50</v>
      </c>
      <c r="E63" t="s">
        <v>14</v>
      </c>
      <c r="F63" t="s">
        <v>249</v>
      </c>
      <c r="G63">
        <v>398</v>
      </c>
      <c r="I63">
        <v>180</v>
      </c>
      <c r="J63">
        <v>40</v>
      </c>
      <c r="K63" t="s">
        <v>255</v>
      </c>
      <c r="L63">
        <v>638629.480224445</v>
      </c>
      <c r="M63">
        <v>4096.2485774118404</v>
      </c>
    </row>
    <row r="64" spans="2:13">
      <c r="B64">
        <v>92780</v>
      </c>
      <c r="C64">
        <v>7535</v>
      </c>
      <c r="D64" t="s">
        <v>50</v>
      </c>
      <c r="E64" t="s">
        <v>14</v>
      </c>
      <c r="F64" t="s">
        <v>249</v>
      </c>
      <c r="G64">
        <v>398</v>
      </c>
      <c r="I64">
        <v>180</v>
      </c>
      <c r="J64">
        <v>40</v>
      </c>
      <c r="K64" t="s">
        <v>255</v>
      </c>
      <c r="L64">
        <v>1541440.84844923</v>
      </c>
      <c r="M64">
        <v>5731.68398206661</v>
      </c>
    </row>
    <row r="65" spans="2:13">
      <c r="B65">
        <v>91833</v>
      </c>
      <c r="C65">
        <v>7540</v>
      </c>
      <c r="D65" t="s">
        <v>51</v>
      </c>
      <c r="E65" t="s">
        <v>13</v>
      </c>
      <c r="F65" t="s">
        <v>249</v>
      </c>
      <c r="G65">
        <v>1450</v>
      </c>
      <c r="I65">
        <v>960</v>
      </c>
      <c r="J65">
        <v>80</v>
      </c>
      <c r="L65">
        <v>503610.76146011002</v>
      </c>
      <c r="M65">
        <v>2998.2659434194402</v>
      </c>
    </row>
    <row r="66" spans="2:13">
      <c r="B66">
        <v>92138</v>
      </c>
      <c r="C66">
        <v>7540</v>
      </c>
      <c r="D66" t="s">
        <v>51</v>
      </c>
      <c r="E66" t="s">
        <v>13</v>
      </c>
      <c r="F66" t="s">
        <v>249</v>
      </c>
      <c r="G66">
        <v>1450</v>
      </c>
      <c r="I66">
        <v>960</v>
      </c>
      <c r="J66">
        <v>80</v>
      </c>
      <c r="L66">
        <v>9166904.1892167907</v>
      </c>
      <c r="M66">
        <v>1574</v>
      </c>
    </row>
    <row r="67" spans="2:13">
      <c r="B67">
        <v>94698</v>
      </c>
      <c r="C67">
        <v>7550</v>
      </c>
      <c r="D67" t="s">
        <v>52</v>
      </c>
      <c r="E67" t="s">
        <v>13</v>
      </c>
      <c r="F67" t="s">
        <v>249</v>
      </c>
      <c r="G67">
        <v>1400</v>
      </c>
      <c r="I67">
        <v>1100</v>
      </c>
      <c r="J67">
        <v>120</v>
      </c>
      <c r="K67" t="s">
        <v>256</v>
      </c>
      <c r="L67">
        <v>8731191.9646749105</v>
      </c>
      <c r="M67">
        <v>2095</v>
      </c>
    </row>
    <row r="68" spans="2:13">
      <c r="B68">
        <v>94707</v>
      </c>
      <c r="C68">
        <v>7560</v>
      </c>
      <c r="D68" t="s">
        <v>53</v>
      </c>
      <c r="E68" t="s">
        <v>13</v>
      </c>
      <c r="F68" t="s">
        <v>249</v>
      </c>
      <c r="G68">
        <v>300</v>
      </c>
      <c r="I68">
        <v>140</v>
      </c>
      <c r="J68">
        <v>40</v>
      </c>
      <c r="L68">
        <v>2799174.6829624898</v>
      </c>
      <c r="M68">
        <v>8210.0989950712101</v>
      </c>
    </row>
    <row r="69" spans="2:13">
      <c r="B69">
        <v>155834</v>
      </c>
      <c r="C69">
        <v>7570</v>
      </c>
      <c r="D69" t="s">
        <v>54</v>
      </c>
      <c r="E69" t="s">
        <v>13</v>
      </c>
      <c r="F69" t="s">
        <v>249</v>
      </c>
      <c r="G69">
        <v>140</v>
      </c>
      <c r="J69">
        <v>100</v>
      </c>
      <c r="L69">
        <v>1470539.42573612</v>
      </c>
      <c r="M69">
        <v>6452.7485335332804</v>
      </c>
    </row>
    <row r="70" spans="2:13">
      <c r="B70">
        <v>153580</v>
      </c>
      <c r="C70">
        <v>7620</v>
      </c>
      <c r="D70" t="s">
        <v>55</v>
      </c>
      <c r="E70" t="s">
        <v>13</v>
      </c>
      <c r="F70" t="s">
        <v>249</v>
      </c>
      <c r="G70">
        <v>215</v>
      </c>
      <c r="H70">
        <v>220</v>
      </c>
      <c r="I70">
        <v>220</v>
      </c>
      <c r="J70">
        <v>30</v>
      </c>
      <c r="K70" t="s">
        <v>257</v>
      </c>
      <c r="L70">
        <v>883540.83642353001</v>
      </c>
      <c r="M70">
        <v>5807.1922082571</v>
      </c>
    </row>
    <row r="71" spans="2:13">
      <c r="B71">
        <v>89902</v>
      </c>
      <c r="C71">
        <v>7620</v>
      </c>
      <c r="D71" t="s">
        <v>55</v>
      </c>
      <c r="E71" t="s">
        <v>13</v>
      </c>
      <c r="F71" t="s">
        <v>249</v>
      </c>
      <c r="G71">
        <v>215</v>
      </c>
      <c r="H71">
        <v>220</v>
      </c>
      <c r="I71">
        <v>220</v>
      </c>
      <c r="J71">
        <v>30</v>
      </c>
      <c r="K71" t="s">
        <v>257</v>
      </c>
      <c r="L71">
        <v>892434.89310818003</v>
      </c>
      <c r="M71">
        <v>5864.8159341022802</v>
      </c>
    </row>
    <row r="72" spans="2:13">
      <c r="B72">
        <v>95673</v>
      </c>
      <c r="C72">
        <v>7630</v>
      </c>
      <c r="D72" t="s">
        <v>56</v>
      </c>
      <c r="E72" t="s">
        <v>13</v>
      </c>
      <c r="F72" t="s">
        <v>249</v>
      </c>
      <c r="G72">
        <v>1000</v>
      </c>
      <c r="I72">
        <v>640</v>
      </c>
      <c r="J72">
        <v>60</v>
      </c>
      <c r="L72">
        <v>734939.03025028505</v>
      </c>
      <c r="M72">
        <v>5953.1514936765298</v>
      </c>
    </row>
    <row r="73" spans="2:13">
      <c r="B73">
        <v>95672</v>
      </c>
      <c r="C73">
        <v>7630</v>
      </c>
      <c r="D73" t="s">
        <v>56</v>
      </c>
      <c r="E73" t="s">
        <v>13</v>
      </c>
      <c r="F73" t="s">
        <v>249</v>
      </c>
      <c r="G73">
        <v>1000</v>
      </c>
      <c r="I73">
        <v>640</v>
      </c>
      <c r="J73">
        <v>60</v>
      </c>
      <c r="L73">
        <v>343981.70181067998</v>
      </c>
      <c r="M73">
        <v>2717.63313824225</v>
      </c>
    </row>
    <row r="74" spans="2:13">
      <c r="B74">
        <v>92139</v>
      </c>
      <c r="C74">
        <v>7640</v>
      </c>
      <c r="D74" t="s">
        <v>57</v>
      </c>
      <c r="E74" t="s">
        <v>13</v>
      </c>
      <c r="F74" t="s">
        <v>249</v>
      </c>
      <c r="G74">
        <v>600</v>
      </c>
      <c r="I74">
        <v>380</v>
      </c>
      <c r="L74">
        <v>2048353.84140832</v>
      </c>
      <c r="M74">
        <v>6695.5782687352303</v>
      </c>
    </row>
    <row r="75" spans="2:13">
      <c r="B75">
        <v>136622</v>
      </c>
      <c r="C75">
        <v>7640</v>
      </c>
      <c r="D75" t="s">
        <v>57</v>
      </c>
      <c r="E75" t="s">
        <v>13</v>
      </c>
      <c r="F75" t="s">
        <v>249</v>
      </c>
      <c r="G75">
        <v>600</v>
      </c>
      <c r="I75">
        <v>380</v>
      </c>
      <c r="L75">
        <v>510461.00753877999</v>
      </c>
      <c r="M75">
        <v>3367.8357271180598</v>
      </c>
    </row>
    <row r="76" spans="2:13">
      <c r="B76">
        <v>153902</v>
      </c>
      <c r="C76">
        <v>7650</v>
      </c>
      <c r="D76" t="s">
        <v>58</v>
      </c>
      <c r="E76" t="s">
        <v>13</v>
      </c>
      <c r="F76" t="s">
        <v>249</v>
      </c>
      <c r="G76">
        <v>1000</v>
      </c>
      <c r="I76">
        <v>1300</v>
      </c>
      <c r="J76">
        <v>120</v>
      </c>
      <c r="L76">
        <v>528475.86058801506</v>
      </c>
      <c r="M76">
        <v>3207.1487779509098</v>
      </c>
    </row>
    <row r="77" spans="2:13">
      <c r="B77">
        <v>153899</v>
      </c>
      <c r="C77">
        <v>7650</v>
      </c>
      <c r="D77" t="s">
        <v>58</v>
      </c>
      <c r="E77" t="s">
        <v>13</v>
      </c>
      <c r="F77" t="s">
        <v>249</v>
      </c>
      <c r="G77">
        <v>1000</v>
      </c>
      <c r="I77">
        <v>1300</v>
      </c>
      <c r="J77">
        <v>120</v>
      </c>
      <c r="L77">
        <v>922782.57697488496</v>
      </c>
      <c r="M77">
        <v>4028.8435733313499</v>
      </c>
    </row>
    <row r="78" spans="2:13">
      <c r="B78">
        <v>153901</v>
      </c>
      <c r="C78">
        <v>7650</v>
      </c>
      <c r="D78" t="s">
        <v>58</v>
      </c>
      <c r="E78" t="s">
        <v>13</v>
      </c>
      <c r="F78" t="s">
        <v>249</v>
      </c>
      <c r="G78">
        <v>1000</v>
      </c>
      <c r="I78">
        <v>1300</v>
      </c>
      <c r="J78">
        <v>120</v>
      </c>
      <c r="L78">
        <v>945472.83999184496</v>
      </c>
      <c r="M78">
        <v>4204.23251770553</v>
      </c>
    </row>
    <row r="79" spans="2:13">
      <c r="B79">
        <v>153900</v>
      </c>
      <c r="C79">
        <v>7650</v>
      </c>
      <c r="D79" t="s">
        <v>58</v>
      </c>
      <c r="E79" t="s">
        <v>13</v>
      </c>
      <c r="F79" t="s">
        <v>249</v>
      </c>
      <c r="G79">
        <v>1000</v>
      </c>
      <c r="I79">
        <v>1300</v>
      </c>
      <c r="J79">
        <v>120</v>
      </c>
      <c r="L79">
        <v>421038.54729861999</v>
      </c>
      <c r="M79">
        <v>3027.6871809857798</v>
      </c>
    </row>
    <row r="80" spans="2:13">
      <c r="B80">
        <v>153898</v>
      </c>
      <c r="C80">
        <v>7650</v>
      </c>
      <c r="D80" t="s">
        <v>58</v>
      </c>
      <c r="E80" t="s">
        <v>13</v>
      </c>
      <c r="F80" t="s">
        <v>249</v>
      </c>
      <c r="G80">
        <v>1000</v>
      </c>
      <c r="I80">
        <v>1300</v>
      </c>
      <c r="J80">
        <v>120</v>
      </c>
      <c r="L80">
        <v>855807.77742949501</v>
      </c>
      <c r="M80">
        <v>4423.0906709380297</v>
      </c>
    </row>
    <row r="81" spans="2:13">
      <c r="B81">
        <v>91827</v>
      </c>
      <c r="C81">
        <v>7670</v>
      </c>
      <c r="D81" t="s">
        <v>59</v>
      </c>
      <c r="E81" t="s">
        <v>13</v>
      </c>
      <c r="F81" t="s">
        <v>249</v>
      </c>
      <c r="G81">
        <v>1100</v>
      </c>
      <c r="I81">
        <v>1000</v>
      </c>
      <c r="J81">
        <v>120</v>
      </c>
      <c r="K81" t="s">
        <v>250</v>
      </c>
      <c r="L81">
        <v>1053250</v>
      </c>
      <c r="M81">
        <v>2747</v>
      </c>
    </row>
    <row r="82" spans="2:13">
      <c r="B82">
        <v>94385</v>
      </c>
      <c r="C82">
        <v>7684</v>
      </c>
      <c r="D82" t="s">
        <v>60</v>
      </c>
      <c r="E82" t="s">
        <v>13</v>
      </c>
      <c r="F82" t="s">
        <v>249</v>
      </c>
      <c r="G82">
        <v>3700</v>
      </c>
      <c r="I82">
        <v>1600</v>
      </c>
      <c r="J82">
        <v>160</v>
      </c>
      <c r="L82">
        <v>368328.61969591002</v>
      </c>
      <c r="M82">
        <v>2521.1664197550999</v>
      </c>
    </row>
    <row r="83" spans="2:13">
      <c r="B83">
        <v>94378</v>
      </c>
      <c r="C83">
        <v>7684</v>
      </c>
      <c r="D83" t="s">
        <v>60</v>
      </c>
      <c r="E83" t="s">
        <v>13</v>
      </c>
      <c r="F83" t="s">
        <v>249</v>
      </c>
      <c r="G83">
        <v>3700</v>
      </c>
      <c r="I83">
        <v>1600</v>
      </c>
      <c r="J83">
        <v>160</v>
      </c>
      <c r="L83">
        <v>144679.234863705</v>
      </c>
      <c r="M83">
        <v>2002.0678522330099</v>
      </c>
    </row>
    <row r="84" spans="2:13">
      <c r="B84">
        <v>94381</v>
      </c>
      <c r="C84">
        <v>7684</v>
      </c>
      <c r="D84" t="s">
        <v>60</v>
      </c>
      <c r="E84" t="s">
        <v>13</v>
      </c>
      <c r="F84" t="s">
        <v>249</v>
      </c>
      <c r="G84">
        <v>3700</v>
      </c>
      <c r="I84">
        <v>1600</v>
      </c>
      <c r="J84">
        <v>160</v>
      </c>
      <c r="L84">
        <v>110419.530688075</v>
      </c>
      <c r="M84">
        <v>1361.51963196888</v>
      </c>
    </row>
    <row r="85" spans="2:13">
      <c r="B85">
        <v>94379</v>
      </c>
      <c r="C85">
        <v>7684</v>
      </c>
      <c r="D85" t="s">
        <v>60</v>
      </c>
      <c r="E85" t="s">
        <v>13</v>
      </c>
      <c r="F85" t="s">
        <v>249</v>
      </c>
      <c r="G85">
        <v>3700</v>
      </c>
      <c r="I85">
        <v>1600</v>
      </c>
      <c r="J85">
        <v>160</v>
      </c>
      <c r="L85">
        <v>109014.37901847</v>
      </c>
      <c r="M85">
        <v>1855.26132502718</v>
      </c>
    </row>
    <row r="86" spans="2:13">
      <c r="B86">
        <v>94384</v>
      </c>
      <c r="C86">
        <v>7684</v>
      </c>
      <c r="D86" t="s">
        <v>60</v>
      </c>
      <c r="E86" t="s">
        <v>13</v>
      </c>
      <c r="F86" t="s">
        <v>249</v>
      </c>
      <c r="G86">
        <v>3700</v>
      </c>
      <c r="I86">
        <v>1600</v>
      </c>
      <c r="J86">
        <v>160</v>
      </c>
      <c r="L86">
        <v>177505.14502778501</v>
      </c>
      <c r="M86">
        <v>2435.4377357998001</v>
      </c>
    </row>
    <row r="87" spans="2:13">
      <c r="B87">
        <v>94383</v>
      </c>
      <c r="C87">
        <v>7684</v>
      </c>
      <c r="D87" t="s">
        <v>60</v>
      </c>
      <c r="E87" t="s">
        <v>13</v>
      </c>
      <c r="F87" t="s">
        <v>249</v>
      </c>
      <c r="G87">
        <v>3700</v>
      </c>
      <c r="I87">
        <v>1600</v>
      </c>
      <c r="J87">
        <v>160</v>
      </c>
      <c r="L87">
        <v>298279.01521807001</v>
      </c>
      <c r="M87">
        <v>2512.8554988646501</v>
      </c>
    </row>
    <row r="88" spans="2:13">
      <c r="B88">
        <v>94382</v>
      </c>
      <c r="C88">
        <v>7684</v>
      </c>
      <c r="D88" t="s">
        <v>60</v>
      </c>
      <c r="E88" t="s">
        <v>13</v>
      </c>
      <c r="F88" t="s">
        <v>249</v>
      </c>
      <c r="G88">
        <v>3700</v>
      </c>
      <c r="I88">
        <v>1600</v>
      </c>
      <c r="J88">
        <v>160</v>
      </c>
      <c r="L88">
        <v>138972.92307332499</v>
      </c>
      <c r="M88">
        <v>1538.0613536594001</v>
      </c>
    </row>
    <row r="89" spans="2:13">
      <c r="B89">
        <v>94380</v>
      </c>
      <c r="C89">
        <v>7684</v>
      </c>
      <c r="D89" t="s">
        <v>60</v>
      </c>
      <c r="E89" t="s">
        <v>13</v>
      </c>
      <c r="F89" t="s">
        <v>249</v>
      </c>
      <c r="G89">
        <v>3700</v>
      </c>
      <c r="I89">
        <v>1600</v>
      </c>
      <c r="J89">
        <v>160</v>
      </c>
      <c r="L89">
        <v>980277.58873993997</v>
      </c>
      <c r="M89">
        <v>4470.5282413634404</v>
      </c>
    </row>
    <row r="90" spans="2:13">
      <c r="B90">
        <v>90538</v>
      </c>
      <c r="C90">
        <v>9240</v>
      </c>
      <c r="D90" t="s">
        <v>61</v>
      </c>
      <c r="E90" t="s">
        <v>13</v>
      </c>
      <c r="F90" t="s">
        <v>249</v>
      </c>
      <c r="G90">
        <v>5200</v>
      </c>
      <c r="I90">
        <v>2740</v>
      </c>
      <c r="J90">
        <v>320</v>
      </c>
      <c r="L90">
        <v>1170673</v>
      </c>
      <c r="M90">
        <v>1668</v>
      </c>
    </row>
    <row r="91" spans="2:13">
      <c r="B91">
        <v>90542</v>
      </c>
      <c r="C91">
        <v>9240</v>
      </c>
      <c r="D91" t="s">
        <v>61</v>
      </c>
      <c r="E91" t="s">
        <v>13</v>
      </c>
      <c r="F91" t="s">
        <v>249</v>
      </c>
      <c r="G91">
        <v>5200</v>
      </c>
      <c r="I91">
        <v>2740</v>
      </c>
      <c r="J91">
        <v>320</v>
      </c>
      <c r="L91">
        <v>8813927.0148689803</v>
      </c>
      <c r="M91">
        <v>1552</v>
      </c>
    </row>
    <row r="92" spans="2:13">
      <c r="B92">
        <v>90541</v>
      </c>
      <c r="C92">
        <v>9240</v>
      </c>
      <c r="D92" t="s">
        <v>61</v>
      </c>
      <c r="E92" t="s">
        <v>13</v>
      </c>
      <c r="F92" t="s">
        <v>249</v>
      </c>
      <c r="G92">
        <v>5200</v>
      </c>
      <c r="I92">
        <v>2740</v>
      </c>
      <c r="J92">
        <v>320</v>
      </c>
      <c r="L92">
        <v>2210165</v>
      </c>
      <c r="M92">
        <v>2242</v>
      </c>
    </row>
    <row r="93" spans="2:13">
      <c r="B93">
        <v>90543</v>
      </c>
      <c r="C93">
        <v>9240</v>
      </c>
      <c r="D93" t="s">
        <v>61</v>
      </c>
      <c r="E93" t="s">
        <v>13</v>
      </c>
      <c r="F93" t="s">
        <v>249</v>
      </c>
      <c r="G93">
        <v>5200</v>
      </c>
      <c r="I93">
        <v>2740</v>
      </c>
      <c r="J93">
        <v>320</v>
      </c>
      <c r="L93">
        <v>3429013.1884335298</v>
      </c>
      <c r="M93">
        <v>9589.9849845900899</v>
      </c>
    </row>
    <row r="94" spans="2:13">
      <c r="B94">
        <v>90539</v>
      </c>
      <c r="C94">
        <v>9240</v>
      </c>
      <c r="D94" t="s">
        <v>61</v>
      </c>
      <c r="E94" t="s">
        <v>13</v>
      </c>
      <c r="F94" t="s">
        <v>249</v>
      </c>
      <c r="G94">
        <v>5200</v>
      </c>
      <c r="I94">
        <v>2740</v>
      </c>
      <c r="J94">
        <v>320</v>
      </c>
      <c r="L94">
        <v>1937039</v>
      </c>
      <c r="M94">
        <v>1985</v>
      </c>
    </row>
    <row r="95" spans="2:13">
      <c r="B95">
        <v>92144</v>
      </c>
      <c r="C95">
        <v>9260</v>
      </c>
      <c r="D95" t="s">
        <v>62</v>
      </c>
      <c r="E95" t="s">
        <v>13</v>
      </c>
      <c r="F95" t="s">
        <v>249</v>
      </c>
      <c r="G95">
        <v>5000</v>
      </c>
      <c r="H95">
        <v>3500</v>
      </c>
      <c r="I95">
        <v>3340</v>
      </c>
      <c r="J95">
        <v>100</v>
      </c>
      <c r="L95">
        <v>8650884</v>
      </c>
      <c r="M95">
        <v>2294</v>
      </c>
    </row>
    <row r="96" spans="2:13">
      <c r="B96">
        <v>135658</v>
      </c>
      <c r="C96">
        <v>10524</v>
      </c>
      <c r="D96" t="s">
        <v>63</v>
      </c>
      <c r="E96" t="s">
        <v>14</v>
      </c>
      <c r="F96" t="s">
        <v>249</v>
      </c>
      <c r="G96">
        <v>7000</v>
      </c>
      <c r="H96">
        <v>2530</v>
      </c>
      <c r="I96">
        <v>2380</v>
      </c>
      <c r="J96">
        <v>320</v>
      </c>
      <c r="K96" t="s">
        <v>258</v>
      </c>
      <c r="L96">
        <v>3289657</v>
      </c>
      <c r="M96">
        <v>5160</v>
      </c>
    </row>
    <row r="97" spans="2:13">
      <c r="B97">
        <v>93418</v>
      </c>
      <c r="C97">
        <v>7735</v>
      </c>
      <c r="D97" t="s">
        <v>64</v>
      </c>
      <c r="E97" t="s">
        <v>13</v>
      </c>
      <c r="F97" t="s">
        <v>249</v>
      </c>
      <c r="G97">
        <v>1300</v>
      </c>
      <c r="H97">
        <v>720</v>
      </c>
      <c r="I97">
        <v>500</v>
      </c>
      <c r="J97">
        <v>100</v>
      </c>
      <c r="K97" t="s">
        <v>259</v>
      </c>
      <c r="L97">
        <v>1074959.2940551999</v>
      </c>
      <c r="M97">
        <v>4185.8465405624502</v>
      </c>
    </row>
    <row r="98" spans="2:13">
      <c r="B98">
        <v>93419</v>
      </c>
      <c r="C98">
        <v>7735</v>
      </c>
      <c r="D98" t="s">
        <v>64</v>
      </c>
      <c r="E98" t="s">
        <v>13</v>
      </c>
      <c r="F98" t="s">
        <v>249</v>
      </c>
      <c r="G98">
        <v>1300</v>
      </c>
      <c r="H98">
        <v>720</v>
      </c>
      <c r="I98">
        <v>500</v>
      </c>
      <c r="J98">
        <v>100</v>
      </c>
      <c r="K98" t="s">
        <v>259</v>
      </c>
      <c r="L98">
        <v>665285.97257459001</v>
      </c>
      <c r="M98">
        <v>3335.4648874653799</v>
      </c>
    </row>
    <row r="99" spans="2:13">
      <c r="B99">
        <v>93422</v>
      </c>
      <c r="C99">
        <v>7735</v>
      </c>
      <c r="D99" t="s">
        <v>64</v>
      </c>
      <c r="E99" t="s">
        <v>13</v>
      </c>
      <c r="F99" t="s">
        <v>249</v>
      </c>
      <c r="G99">
        <v>1300</v>
      </c>
      <c r="H99">
        <v>720</v>
      </c>
      <c r="I99">
        <v>500</v>
      </c>
      <c r="J99">
        <v>100</v>
      </c>
      <c r="K99" t="s">
        <v>259</v>
      </c>
      <c r="L99">
        <v>255687.23056749001</v>
      </c>
      <c r="M99">
        <v>3382.9650933937201</v>
      </c>
    </row>
    <row r="100" spans="2:13">
      <c r="B100">
        <v>93421</v>
      </c>
      <c r="C100">
        <v>7735</v>
      </c>
      <c r="D100" t="s">
        <v>64</v>
      </c>
      <c r="E100" t="s">
        <v>13</v>
      </c>
      <c r="F100" t="s">
        <v>249</v>
      </c>
      <c r="G100">
        <v>1300</v>
      </c>
      <c r="H100">
        <v>720</v>
      </c>
      <c r="I100">
        <v>500</v>
      </c>
      <c r="J100">
        <v>100</v>
      </c>
      <c r="K100" t="s">
        <v>259</v>
      </c>
      <c r="L100">
        <v>543043.20151831</v>
      </c>
      <c r="M100">
        <v>4447.9701593939299</v>
      </c>
    </row>
    <row r="101" spans="2:13">
      <c r="B101">
        <v>94419</v>
      </c>
      <c r="C101">
        <v>7740</v>
      </c>
      <c r="D101" t="s">
        <v>65</v>
      </c>
      <c r="E101" t="s">
        <v>13</v>
      </c>
      <c r="F101" t="s">
        <v>249</v>
      </c>
      <c r="G101">
        <v>2000</v>
      </c>
      <c r="H101">
        <v>1120</v>
      </c>
      <c r="I101">
        <v>1120</v>
      </c>
      <c r="J101">
        <v>120</v>
      </c>
      <c r="L101">
        <v>2391985.7453413699</v>
      </c>
      <c r="M101">
        <v>8716.1552082694798</v>
      </c>
    </row>
    <row r="102" spans="2:13">
      <c r="B102">
        <v>94424</v>
      </c>
      <c r="C102">
        <v>7740</v>
      </c>
      <c r="D102" t="s">
        <v>65</v>
      </c>
      <c r="E102" t="s">
        <v>13</v>
      </c>
      <c r="F102" t="s">
        <v>249</v>
      </c>
      <c r="G102">
        <v>2000</v>
      </c>
      <c r="H102">
        <v>1120</v>
      </c>
      <c r="I102">
        <v>1120</v>
      </c>
      <c r="J102">
        <v>120</v>
      </c>
      <c r="L102">
        <v>648619.85433025996</v>
      </c>
      <c r="M102">
        <v>4253.9729578204597</v>
      </c>
    </row>
    <row r="103" spans="2:13">
      <c r="B103">
        <v>94417</v>
      </c>
      <c r="C103">
        <v>7740</v>
      </c>
      <c r="D103" t="s">
        <v>65</v>
      </c>
      <c r="E103" t="s">
        <v>13</v>
      </c>
      <c r="F103" t="s">
        <v>249</v>
      </c>
      <c r="G103">
        <v>2000</v>
      </c>
      <c r="H103">
        <v>1120</v>
      </c>
      <c r="I103">
        <v>1120</v>
      </c>
      <c r="J103">
        <v>120</v>
      </c>
      <c r="L103">
        <v>1162036.90245486</v>
      </c>
      <c r="M103">
        <v>6396.5853297224103</v>
      </c>
    </row>
    <row r="104" spans="2:13">
      <c r="B104">
        <v>94422</v>
      </c>
      <c r="C104">
        <v>7740</v>
      </c>
      <c r="D104" t="s">
        <v>65</v>
      </c>
      <c r="E104" t="s">
        <v>13</v>
      </c>
      <c r="F104" t="s">
        <v>249</v>
      </c>
      <c r="G104">
        <v>2000</v>
      </c>
      <c r="H104">
        <v>1120</v>
      </c>
      <c r="I104">
        <v>1120</v>
      </c>
      <c r="J104">
        <v>120</v>
      </c>
      <c r="L104">
        <v>970873.60720160999</v>
      </c>
      <c r="M104">
        <v>4208.1733898170896</v>
      </c>
    </row>
    <row r="105" spans="2:13">
      <c r="B105">
        <v>94421</v>
      </c>
      <c r="C105">
        <v>7740</v>
      </c>
      <c r="D105" t="s">
        <v>65</v>
      </c>
      <c r="E105" t="s">
        <v>13</v>
      </c>
      <c r="F105" t="s">
        <v>249</v>
      </c>
      <c r="G105">
        <v>2000</v>
      </c>
      <c r="H105">
        <v>1120</v>
      </c>
      <c r="I105">
        <v>1120</v>
      </c>
      <c r="J105">
        <v>120</v>
      </c>
      <c r="L105">
        <v>836668.09028865001</v>
      </c>
      <c r="M105">
        <v>4105.8494454599404</v>
      </c>
    </row>
    <row r="106" spans="2:13">
      <c r="B106">
        <v>94425</v>
      </c>
      <c r="C106">
        <v>7740</v>
      </c>
      <c r="D106" t="s">
        <v>65</v>
      </c>
      <c r="E106" t="s">
        <v>13</v>
      </c>
      <c r="F106" t="s">
        <v>249</v>
      </c>
      <c r="G106">
        <v>2000</v>
      </c>
      <c r="H106">
        <v>1120</v>
      </c>
      <c r="I106">
        <v>1120</v>
      </c>
      <c r="J106">
        <v>120</v>
      </c>
      <c r="L106">
        <v>585401.76306389505</v>
      </c>
      <c r="M106">
        <v>3212.48568705048</v>
      </c>
    </row>
    <row r="107" spans="2:13">
      <c r="B107">
        <v>94423</v>
      </c>
      <c r="C107">
        <v>7740</v>
      </c>
      <c r="D107" t="s">
        <v>65</v>
      </c>
      <c r="E107" t="s">
        <v>13</v>
      </c>
      <c r="F107" t="s">
        <v>249</v>
      </c>
      <c r="G107">
        <v>2000</v>
      </c>
      <c r="H107">
        <v>1120</v>
      </c>
      <c r="I107">
        <v>1120</v>
      </c>
      <c r="J107">
        <v>120</v>
      </c>
      <c r="L107">
        <v>509433.83738093497</v>
      </c>
      <c r="M107">
        <v>2961.0561159528102</v>
      </c>
    </row>
    <row r="108" spans="2:13">
      <c r="B108">
        <v>94418</v>
      </c>
      <c r="C108">
        <v>7740</v>
      </c>
      <c r="D108" t="s">
        <v>65</v>
      </c>
      <c r="E108" t="s">
        <v>13</v>
      </c>
      <c r="F108" t="s">
        <v>249</v>
      </c>
      <c r="G108">
        <v>2000</v>
      </c>
      <c r="H108">
        <v>1120</v>
      </c>
      <c r="I108">
        <v>1120</v>
      </c>
      <c r="J108">
        <v>120</v>
      </c>
      <c r="L108">
        <v>408937.793776265</v>
      </c>
      <c r="M108">
        <v>3070.8131105807201</v>
      </c>
    </row>
    <row r="109" spans="2:13">
      <c r="B109">
        <v>94420</v>
      </c>
      <c r="C109">
        <v>7740</v>
      </c>
      <c r="D109" t="s">
        <v>65</v>
      </c>
      <c r="E109" t="s">
        <v>13</v>
      </c>
      <c r="F109" t="s">
        <v>249</v>
      </c>
      <c r="G109">
        <v>2000</v>
      </c>
      <c r="H109">
        <v>1120</v>
      </c>
      <c r="I109">
        <v>1120</v>
      </c>
      <c r="J109">
        <v>120</v>
      </c>
      <c r="L109">
        <v>830675.23861318501</v>
      </c>
      <c r="M109">
        <v>3887.0947146226499</v>
      </c>
    </row>
    <row r="110" spans="2:13">
      <c r="B110">
        <v>94416</v>
      </c>
      <c r="C110">
        <v>7740</v>
      </c>
      <c r="D110" t="s">
        <v>65</v>
      </c>
      <c r="E110" t="s">
        <v>13</v>
      </c>
      <c r="F110" t="s">
        <v>249</v>
      </c>
      <c r="G110">
        <v>2000</v>
      </c>
      <c r="H110">
        <v>1120</v>
      </c>
      <c r="I110">
        <v>1120</v>
      </c>
      <c r="J110">
        <v>120</v>
      </c>
      <c r="L110">
        <v>623158.80695909495</v>
      </c>
      <c r="M110">
        <v>3607.7933970623699</v>
      </c>
    </row>
    <row r="111" spans="2:13">
      <c r="B111">
        <v>94389</v>
      </c>
      <c r="C111">
        <v>7800</v>
      </c>
      <c r="D111" t="s">
        <v>66</v>
      </c>
      <c r="E111" t="s">
        <v>13</v>
      </c>
      <c r="F111" t="s">
        <v>249</v>
      </c>
      <c r="G111">
        <v>2950</v>
      </c>
      <c r="I111">
        <v>1300</v>
      </c>
      <c r="J111">
        <v>120</v>
      </c>
      <c r="L111">
        <v>1379572.56456585</v>
      </c>
      <c r="M111">
        <v>5209.4880552079503</v>
      </c>
    </row>
    <row r="112" spans="2:13">
      <c r="B112">
        <v>94386</v>
      </c>
      <c r="C112">
        <v>7800</v>
      </c>
      <c r="D112" t="s">
        <v>66</v>
      </c>
      <c r="E112" t="s">
        <v>13</v>
      </c>
      <c r="F112" t="s">
        <v>249</v>
      </c>
      <c r="G112">
        <v>2950</v>
      </c>
      <c r="I112">
        <v>1300</v>
      </c>
      <c r="J112">
        <v>120</v>
      </c>
      <c r="L112">
        <v>96271.323011745</v>
      </c>
      <c r="M112">
        <v>1310.6966594185501</v>
      </c>
    </row>
    <row r="113" spans="2:13">
      <c r="B113">
        <v>94388</v>
      </c>
      <c r="C113">
        <v>7800</v>
      </c>
      <c r="D113" t="s">
        <v>66</v>
      </c>
      <c r="E113" t="s">
        <v>13</v>
      </c>
      <c r="F113" t="s">
        <v>249</v>
      </c>
      <c r="G113">
        <v>2950</v>
      </c>
      <c r="I113">
        <v>1300</v>
      </c>
      <c r="J113">
        <v>120</v>
      </c>
      <c r="L113">
        <v>328235.34820607002</v>
      </c>
      <c r="M113">
        <v>2514.5788889160799</v>
      </c>
    </row>
    <row r="114" spans="2:13">
      <c r="B114">
        <v>94390</v>
      </c>
      <c r="C114">
        <v>7800</v>
      </c>
      <c r="D114" t="s">
        <v>66</v>
      </c>
      <c r="E114" t="s">
        <v>13</v>
      </c>
      <c r="F114" t="s">
        <v>249</v>
      </c>
      <c r="G114">
        <v>2950</v>
      </c>
      <c r="I114">
        <v>1300</v>
      </c>
      <c r="J114">
        <v>120</v>
      </c>
      <c r="L114">
        <v>217776.30183630501</v>
      </c>
      <c r="M114">
        <v>2265.9669499097899</v>
      </c>
    </row>
    <row r="115" spans="2:13">
      <c r="B115">
        <v>94387</v>
      </c>
      <c r="C115">
        <v>7800</v>
      </c>
      <c r="D115" t="s">
        <v>66</v>
      </c>
      <c r="E115" t="s">
        <v>13</v>
      </c>
      <c r="F115" t="s">
        <v>249</v>
      </c>
      <c r="G115">
        <v>2950</v>
      </c>
      <c r="I115">
        <v>1300</v>
      </c>
      <c r="J115">
        <v>120</v>
      </c>
      <c r="L115">
        <v>1836051.1404295799</v>
      </c>
      <c r="M115">
        <v>6113.2140982128103</v>
      </c>
    </row>
    <row r="116" spans="2:13">
      <c r="B116">
        <v>94392</v>
      </c>
      <c r="C116">
        <v>7800</v>
      </c>
      <c r="D116" t="s">
        <v>66</v>
      </c>
      <c r="E116" t="s">
        <v>13</v>
      </c>
      <c r="F116" t="s">
        <v>249</v>
      </c>
      <c r="G116">
        <v>2950</v>
      </c>
      <c r="I116">
        <v>1300</v>
      </c>
      <c r="J116">
        <v>120</v>
      </c>
      <c r="L116">
        <v>1159155.00023205</v>
      </c>
      <c r="M116">
        <v>5062.5338751202798</v>
      </c>
    </row>
    <row r="117" spans="2:13">
      <c r="B117">
        <v>94391</v>
      </c>
      <c r="C117">
        <v>7800</v>
      </c>
      <c r="D117" t="s">
        <v>66</v>
      </c>
      <c r="E117" t="s">
        <v>13</v>
      </c>
      <c r="F117" t="s">
        <v>249</v>
      </c>
      <c r="G117">
        <v>2950</v>
      </c>
      <c r="I117">
        <v>1300</v>
      </c>
      <c r="J117">
        <v>120</v>
      </c>
      <c r="L117">
        <v>1580212.41684211</v>
      </c>
      <c r="M117">
        <v>7511.3606991966899</v>
      </c>
    </row>
    <row r="118" spans="2:13">
      <c r="B118">
        <v>90547</v>
      </c>
      <c r="C118">
        <v>7815</v>
      </c>
      <c r="D118" t="s">
        <v>67</v>
      </c>
      <c r="E118" t="s">
        <v>13</v>
      </c>
      <c r="F118" t="s">
        <v>249</v>
      </c>
      <c r="I118">
        <v>200</v>
      </c>
      <c r="L118">
        <v>83923.453997195</v>
      </c>
      <c r="M118">
        <v>1308.1531390320499</v>
      </c>
    </row>
    <row r="119" spans="2:13">
      <c r="B119">
        <v>90548</v>
      </c>
      <c r="C119">
        <v>7815</v>
      </c>
      <c r="D119" t="s">
        <v>67</v>
      </c>
      <c r="E119" t="s">
        <v>13</v>
      </c>
      <c r="F119" t="s">
        <v>249</v>
      </c>
      <c r="I119">
        <v>200</v>
      </c>
      <c r="L119">
        <v>98537.145356520006</v>
      </c>
      <c r="M119">
        <v>1312.4992264918101</v>
      </c>
    </row>
    <row r="120" spans="2:13">
      <c r="B120">
        <v>90549</v>
      </c>
      <c r="C120">
        <v>7815</v>
      </c>
      <c r="D120" t="s">
        <v>67</v>
      </c>
      <c r="E120" t="s">
        <v>13</v>
      </c>
      <c r="F120" t="s">
        <v>249</v>
      </c>
      <c r="I120">
        <v>200</v>
      </c>
      <c r="L120">
        <v>574466.26464389998</v>
      </c>
      <c r="M120">
        <v>3074.9424466894902</v>
      </c>
    </row>
    <row r="121" spans="2:13">
      <c r="B121">
        <v>154874</v>
      </c>
      <c r="C121">
        <v>7852</v>
      </c>
      <c r="D121" t="s">
        <v>68</v>
      </c>
      <c r="E121" t="s">
        <v>13</v>
      </c>
      <c r="F121" t="s">
        <v>249</v>
      </c>
      <c r="G121">
        <v>895</v>
      </c>
      <c r="I121">
        <v>1000</v>
      </c>
      <c r="J121">
        <v>120</v>
      </c>
      <c r="L121">
        <v>3618973.5143114198</v>
      </c>
      <c r="M121">
        <v>2535</v>
      </c>
    </row>
    <row r="122" spans="2:13">
      <c r="B122">
        <v>92141</v>
      </c>
      <c r="C122">
        <v>7880</v>
      </c>
      <c r="D122" t="s">
        <v>69</v>
      </c>
      <c r="E122" t="s">
        <v>13</v>
      </c>
      <c r="F122" t="s">
        <v>249</v>
      </c>
      <c r="G122">
        <v>1140</v>
      </c>
      <c r="I122">
        <v>600</v>
      </c>
      <c r="J122">
        <v>40</v>
      </c>
      <c r="L122">
        <v>1110281.6057448401</v>
      </c>
      <c r="M122">
        <v>4720.1218946526096</v>
      </c>
    </row>
    <row r="123" spans="2:13">
      <c r="B123">
        <v>92140</v>
      </c>
      <c r="C123">
        <v>7880</v>
      </c>
      <c r="D123" t="s">
        <v>69</v>
      </c>
      <c r="E123" t="s">
        <v>13</v>
      </c>
      <c r="F123" t="s">
        <v>249</v>
      </c>
      <c r="G123">
        <v>1140</v>
      </c>
      <c r="I123">
        <v>600</v>
      </c>
      <c r="J123">
        <v>40</v>
      </c>
      <c r="L123">
        <v>1169957.1892607401</v>
      </c>
      <c r="M123">
        <v>6069.6440605345597</v>
      </c>
    </row>
    <row r="124" spans="2:13">
      <c r="B124">
        <v>90226</v>
      </c>
      <c r="C124">
        <v>10305</v>
      </c>
      <c r="D124" t="s">
        <v>70</v>
      </c>
      <c r="E124" t="s">
        <v>14</v>
      </c>
      <c r="F124" t="s">
        <v>249</v>
      </c>
      <c r="G124">
        <v>2000</v>
      </c>
      <c r="H124">
        <v>1120</v>
      </c>
      <c r="I124">
        <v>1550</v>
      </c>
      <c r="J124">
        <v>140</v>
      </c>
      <c r="K124" t="s">
        <v>236</v>
      </c>
      <c r="L124">
        <v>1099554.10819435</v>
      </c>
      <c r="M124">
        <v>4658.6966506121298</v>
      </c>
    </row>
    <row r="125" spans="2:13">
      <c r="B125">
        <v>90227</v>
      </c>
      <c r="C125">
        <v>10305</v>
      </c>
      <c r="D125" t="s">
        <v>70</v>
      </c>
      <c r="E125" t="s">
        <v>14</v>
      </c>
      <c r="F125" t="s">
        <v>249</v>
      </c>
      <c r="G125">
        <v>2000</v>
      </c>
      <c r="H125">
        <v>1120</v>
      </c>
      <c r="I125">
        <v>1550</v>
      </c>
      <c r="J125">
        <v>140</v>
      </c>
      <c r="K125" t="s">
        <v>236</v>
      </c>
      <c r="L125">
        <v>434792.85164864</v>
      </c>
      <c r="M125">
        <v>3042.8429909974502</v>
      </c>
    </row>
    <row r="126" spans="2:13">
      <c r="B126">
        <v>90228</v>
      </c>
      <c r="C126">
        <v>10305</v>
      </c>
      <c r="D126" t="s">
        <v>70</v>
      </c>
      <c r="E126" t="s">
        <v>14</v>
      </c>
      <c r="F126" t="s">
        <v>249</v>
      </c>
      <c r="G126">
        <v>2000</v>
      </c>
      <c r="H126">
        <v>1120</v>
      </c>
      <c r="I126">
        <v>1550</v>
      </c>
      <c r="J126">
        <v>140</v>
      </c>
      <c r="K126" t="s">
        <v>236</v>
      </c>
      <c r="L126">
        <v>4625905.5677722199</v>
      </c>
      <c r="M126">
        <v>9219.0544174587194</v>
      </c>
    </row>
    <row r="127" spans="2:13">
      <c r="B127">
        <v>91189</v>
      </c>
      <c r="C127">
        <v>10310</v>
      </c>
      <c r="D127" t="s">
        <v>70</v>
      </c>
      <c r="E127" t="s">
        <v>13</v>
      </c>
      <c r="F127" t="s">
        <v>249</v>
      </c>
      <c r="G127">
        <v>1600</v>
      </c>
      <c r="I127">
        <v>880</v>
      </c>
      <c r="J127">
        <v>80</v>
      </c>
      <c r="L127">
        <v>1612009.39051174</v>
      </c>
      <c r="M127">
        <v>6485.7824660243296</v>
      </c>
    </row>
    <row r="128" spans="2:13">
      <c r="B128">
        <v>138218</v>
      </c>
      <c r="C128">
        <v>10389</v>
      </c>
      <c r="D128" t="s">
        <v>70</v>
      </c>
      <c r="E128" t="s">
        <v>13</v>
      </c>
      <c r="F128" t="s">
        <v>249</v>
      </c>
      <c r="G128">
        <v>120</v>
      </c>
      <c r="I128">
        <v>100</v>
      </c>
      <c r="J128">
        <v>20</v>
      </c>
      <c r="K128" t="s">
        <v>260</v>
      </c>
      <c r="L128">
        <v>572841.43814671005</v>
      </c>
      <c r="M128">
        <v>4403.4974407661102</v>
      </c>
    </row>
    <row r="129" spans="2:13">
      <c r="B129">
        <v>138218</v>
      </c>
      <c r="C129">
        <v>10389</v>
      </c>
      <c r="D129" t="s">
        <v>70</v>
      </c>
      <c r="E129" t="s">
        <v>13</v>
      </c>
      <c r="F129" t="s">
        <v>249</v>
      </c>
      <c r="G129">
        <v>200</v>
      </c>
      <c r="I129">
        <v>120</v>
      </c>
      <c r="J129">
        <v>40</v>
      </c>
      <c r="K129" t="s">
        <v>261</v>
      </c>
      <c r="L129">
        <v>572841.43814671005</v>
      </c>
      <c r="M129">
        <v>4403.4974407661102</v>
      </c>
    </row>
    <row r="130" spans="2:13">
      <c r="B130">
        <v>136298</v>
      </c>
      <c r="C130">
        <v>10389</v>
      </c>
      <c r="D130" t="s">
        <v>70</v>
      </c>
      <c r="E130" t="s">
        <v>13</v>
      </c>
      <c r="F130" t="s">
        <v>249</v>
      </c>
      <c r="G130">
        <v>120</v>
      </c>
      <c r="I130">
        <v>100</v>
      </c>
      <c r="J130">
        <v>20</v>
      </c>
      <c r="K130" t="s">
        <v>260</v>
      </c>
      <c r="L130">
        <v>601708.80401184503</v>
      </c>
      <c r="M130">
        <v>4130.7267085745898</v>
      </c>
    </row>
    <row r="131" spans="2:13">
      <c r="B131">
        <v>136298</v>
      </c>
      <c r="C131">
        <v>10389</v>
      </c>
      <c r="D131" t="s">
        <v>70</v>
      </c>
      <c r="E131" t="s">
        <v>13</v>
      </c>
      <c r="F131" t="s">
        <v>249</v>
      </c>
      <c r="G131">
        <v>200</v>
      </c>
      <c r="I131">
        <v>120</v>
      </c>
      <c r="J131">
        <v>40</v>
      </c>
      <c r="K131" t="s">
        <v>261</v>
      </c>
      <c r="L131">
        <v>601708.80401184503</v>
      </c>
      <c r="M131">
        <v>4130.7267085745898</v>
      </c>
    </row>
    <row r="132" spans="2:13">
      <c r="B132">
        <v>156474</v>
      </c>
      <c r="C132">
        <v>11599</v>
      </c>
      <c r="D132" t="s">
        <v>262</v>
      </c>
      <c r="E132" t="s">
        <v>14</v>
      </c>
      <c r="F132" t="s">
        <v>249</v>
      </c>
      <c r="G132">
        <v>120</v>
      </c>
      <c r="I132">
        <v>20</v>
      </c>
      <c r="J132">
        <v>20</v>
      </c>
      <c r="L132">
        <v>218964.08509062001</v>
      </c>
      <c r="M132">
        <v>2866.6691040728801</v>
      </c>
    </row>
    <row r="133" spans="2:13">
      <c r="B133">
        <v>90225</v>
      </c>
      <c r="C133">
        <v>7970</v>
      </c>
      <c r="D133" t="s">
        <v>71</v>
      </c>
      <c r="E133" t="s">
        <v>13</v>
      </c>
      <c r="F133" t="s">
        <v>249</v>
      </c>
      <c r="G133">
        <v>3600</v>
      </c>
      <c r="I133">
        <v>1860</v>
      </c>
      <c r="J133">
        <v>200</v>
      </c>
      <c r="K133" t="s">
        <v>263</v>
      </c>
      <c r="L133">
        <v>3346433.5600414402</v>
      </c>
      <c r="M133">
        <v>8376.6262631358004</v>
      </c>
    </row>
    <row r="134" spans="2:13">
      <c r="B134">
        <v>144307</v>
      </c>
      <c r="C134">
        <v>7970</v>
      </c>
      <c r="D134" t="s">
        <v>71</v>
      </c>
      <c r="E134" t="s">
        <v>13</v>
      </c>
      <c r="F134" t="s">
        <v>249</v>
      </c>
      <c r="G134">
        <v>3600</v>
      </c>
      <c r="I134">
        <v>1860</v>
      </c>
      <c r="J134">
        <v>200</v>
      </c>
      <c r="K134" t="s">
        <v>263</v>
      </c>
      <c r="L134">
        <v>996999.04568946001</v>
      </c>
      <c r="M134">
        <v>5065.5356562960596</v>
      </c>
    </row>
    <row r="135" spans="2:13">
      <c r="B135">
        <v>90224</v>
      </c>
      <c r="C135">
        <v>7970</v>
      </c>
      <c r="D135" t="s">
        <v>71</v>
      </c>
      <c r="E135" t="s">
        <v>13</v>
      </c>
      <c r="F135" t="s">
        <v>249</v>
      </c>
      <c r="G135">
        <v>3600</v>
      </c>
      <c r="I135">
        <v>1860</v>
      </c>
      <c r="J135">
        <v>200</v>
      </c>
      <c r="K135" t="s">
        <v>263</v>
      </c>
      <c r="L135">
        <v>1863704.2482836</v>
      </c>
      <c r="M135">
        <v>7556.0852649340804</v>
      </c>
    </row>
    <row r="136" spans="2:13">
      <c r="B136">
        <v>115818</v>
      </c>
      <c r="C136">
        <v>7990</v>
      </c>
      <c r="D136" t="s">
        <v>72</v>
      </c>
      <c r="E136" t="s">
        <v>13</v>
      </c>
      <c r="F136" t="s">
        <v>249</v>
      </c>
      <c r="G136">
        <v>475</v>
      </c>
      <c r="I136">
        <v>180</v>
      </c>
      <c r="J136">
        <v>60</v>
      </c>
      <c r="L136">
        <v>1627907</v>
      </c>
      <c r="M136">
        <v>3826</v>
      </c>
    </row>
    <row r="137" spans="2:13">
      <c r="B137">
        <v>94706</v>
      </c>
      <c r="C137">
        <v>8060</v>
      </c>
      <c r="D137" t="s">
        <v>73</v>
      </c>
      <c r="E137" t="s">
        <v>13</v>
      </c>
      <c r="F137" t="s">
        <v>249</v>
      </c>
      <c r="G137">
        <v>1300</v>
      </c>
      <c r="I137">
        <v>780</v>
      </c>
      <c r="J137">
        <v>80</v>
      </c>
      <c r="L137">
        <v>9199433.6071904693</v>
      </c>
      <c r="M137">
        <v>2513</v>
      </c>
    </row>
    <row r="138" spans="2:13">
      <c r="B138">
        <v>129587</v>
      </c>
      <c r="C138">
        <v>8070</v>
      </c>
      <c r="D138" t="s">
        <v>74</v>
      </c>
      <c r="E138" t="s">
        <v>13</v>
      </c>
      <c r="F138" t="s">
        <v>249</v>
      </c>
      <c r="G138">
        <v>750</v>
      </c>
      <c r="I138">
        <v>700</v>
      </c>
      <c r="J138">
        <v>60</v>
      </c>
      <c r="L138">
        <v>980279.81520874996</v>
      </c>
      <c r="M138">
        <v>4529.3523909538699</v>
      </c>
    </row>
    <row r="139" spans="2:13">
      <c r="B139">
        <v>129589</v>
      </c>
      <c r="C139">
        <v>8070</v>
      </c>
      <c r="D139" t="s">
        <v>74</v>
      </c>
      <c r="E139" t="s">
        <v>13</v>
      </c>
      <c r="F139" t="s">
        <v>249</v>
      </c>
      <c r="G139">
        <v>750</v>
      </c>
      <c r="I139">
        <v>700</v>
      </c>
      <c r="J139">
        <v>60</v>
      </c>
      <c r="L139">
        <v>524295.27714924002</v>
      </c>
      <c r="M139">
        <v>3058.4211177103898</v>
      </c>
    </row>
    <row r="140" spans="2:13">
      <c r="B140">
        <v>129585</v>
      </c>
      <c r="C140">
        <v>8070</v>
      </c>
      <c r="D140" t="s">
        <v>74</v>
      </c>
      <c r="E140" t="s">
        <v>13</v>
      </c>
      <c r="F140" t="s">
        <v>249</v>
      </c>
      <c r="G140">
        <v>750</v>
      </c>
      <c r="I140">
        <v>700</v>
      </c>
      <c r="J140">
        <v>60</v>
      </c>
      <c r="L140">
        <v>414488.29422003502</v>
      </c>
      <c r="M140">
        <v>2575.7603293799002</v>
      </c>
    </row>
    <row r="141" spans="2:13">
      <c r="B141">
        <v>129588</v>
      </c>
      <c r="C141">
        <v>8070</v>
      </c>
      <c r="D141" t="s">
        <v>74</v>
      </c>
      <c r="E141" t="s">
        <v>13</v>
      </c>
      <c r="F141" t="s">
        <v>249</v>
      </c>
      <c r="G141">
        <v>750</v>
      </c>
      <c r="I141">
        <v>700</v>
      </c>
      <c r="J141">
        <v>60</v>
      </c>
      <c r="L141">
        <v>506017.18253007502</v>
      </c>
      <c r="M141">
        <v>3470.2441499535798</v>
      </c>
    </row>
    <row r="142" spans="2:13">
      <c r="B142">
        <v>129586</v>
      </c>
      <c r="C142">
        <v>8070</v>
      </c>
      <c r="D142" t="s">
        <v>74</v>
      </c>
      <c r="E142" t="s">
        <v>13</v>
      </c>
      <c r="F142" t="s">
        <v>249</v>
      </c>
      <c r="G142">
        <v>750</v>
      </c>
      <c r="I142">
        <v>700</v>
      </c>
      <c r="J142">
        <v>60</v>
      </c>
      <c r="L142">
        <v>704112.31304147001</v>
      </c>
      <c r="M142">
        <v>4610.5197655519696</v>
      </c>
    </row>
    <row r="143" spans="2:13">
      <c r="B143">
        <v>129590</v>
      </c>
      <c r="C143">
        <v>8070</v>
      </c>
      <c r="D143" t="s">
        <v>74</v>
      </c>
      <c r="E143" t="s">
        <v>13</v>
      </c>
      <c r="F143" t="s">
        <v>249</v>
      </c>
      <c r="G143">
        <v>750</v>
      </c>
      <c r="I143">
        <v>700</v>
      </c>
      <c r="J143">
        <v>60</v>
      </c>
      <c r="L143">
        <v>246566.786111425</v>
      </c>
      <c r="M143">
        <v>2447.6688825157498</v>
      </c>
    </row>
    <row r="144" spans="2:13">
      <c r="B144">
        <v>129591</v>
      </c>
      <c r="C144">
        <v>8070</v>
      </c>
      <c r="D144" t="s">
        <v>74</v>
      </c>
      <c r="E144" t="s">
        <v>13</v>
      </c>
      <c r="F144" t="s">
        <v>249</v>
      </c>
      <c r="G144">
        <v>750</v>
      </c>
      <c r="I144">
        <v>700</v>
      </c>
      <c r="J144">
        <v>60</v>
      </c>
      <c r="L144">
        <v>1319067.09201256</v>
      </c>
      <c r="M144">
        <v>5998.8855742503501</v>
      </c>
    </row>
    <row r="145" spans="2:13">
      <c r="B145">
        <v>90544</v>
      </c>
      <c r="C145">
        <v>8100</v>
      </c>
      <c r="D145" t="s">
        <v>75</v>
      </c>
      <c r="E145" t="s">
        <v>13</v>
      </c>
      <c r="F145" t="s">
        <v>249</v>
      </c>
      <c r="G145">
        <v>650</v>
      </c>
      <c r="I145">
        <v>500</v>
      </c>
      <c r="J145">
        <v>60</v>
      </c>
      <c r="L145">
        <v>8251474.9268952897</v>
      </c>
      <c r="M145">
        <v>2173</v>
      </c>
    </row>
    <row r="146" spans="2:13">
      <c r="B146">
        <v>96637</v>
      </c>
      <c r="C146">
        <v>8110</v>
      </c>
      <c r="D146" t="s">
        <v>76</v>
      </c>
      <c r="E146" t="s">
        <v>14</v>
      </c>
      <c r="F146" t="s">
        <v>249</v>
      </c>
      <c r="G146">
        <v>500</v>
      </c>
      <c r="I146">
        <v>140</v>
      </c>
      <c r="J146">
        <v>140</v>
      </c>
      <c r="L146">
        <v>127152.5103468</v>
      </c>
      <c r="M146">
        <v>1761.6266551037299</v>
      </c>
    </row>
    <row r="147" spans="2:13">
      <c r="B147">
        <v>91500</v>
      </c>
      <c r="C147">
        <v>8110</v>
      </c>
      <c r="D147" t="s">
        <v>76</v>
      </c>
      <c r="E147" t="s">
        <v>14</v>
      </c>
      <c r="F147" t="s">
        <v>249</v>
      </c>
      <c r="G147">
        <v>500</v>
      </c>
      <c r="I147">
        <v>140</v>
      </c>
      <c r="J147">
        <v>140</v>
      </c>
      <c r="L147">
        <v>414997.66123532498</v>
      </c>
      <c r="M147">
        <v>4552.4952055951899</v>
      </c>
    </row>
    <row r="148" spans="2:13">
      <c r="B148">
        <v>96633</v>
      </c>
      <c r="C148">
        <v>8110</v>
      </c>
      <c r="D148" t="s">
        <v>76</v>
      </c>
      <c r="E148" t="s">
        <v>14</v>
      </c>
      <c r="F148" t="s">
        <v>249</v>
      </c>
      <c r="G148">
        <v>500</v>
      </c>
      <c r="I148">
        <v>140</v>
      </c>
      <c r="J148">
        <v>140</v>
      </c>
      <c r="L148">
        <v>210572.61164938999</v>
      </c>
      <c r="M148">
        <v>3275.8778974479601</v>
      </c>
    </row>
    <row r="149" spans="2:13">
      <c r="B149">
        <v>91501</v>
      </c>
      <c r="C149">
        <v>8110</v>
      </c>
      <c r="D149" t="s">
        <v>76</v>
      </c>
      <c r="E149" t="s">
        <v>14</v>
      </c>
      <c r="F149" t="s">
        <v>249</v>
      </c>
      <c r="G149">
        <v>500</v>
      </c>
      <c r="I149">
        <v>140</v>
      </c>
      <c r="J149">
        <v>140</v>
      </c>
      <c r="L149">
        <v>123715.896554705</v>
      </c>
      <c r="M149">
        <v>1462.50993585123</v>
      </c>
    </row>
    <row r="150" spans="2:13">
      <c r="B150">
        <v>91498</v>
      </c>
      <c r="C150">
        <v>8110</v>
      </c>
      <c r="D150" t="s">
        <v>76</v>
      </c>
      <c r="E150" t="s">
        <v>14</v>
      </c>
      <c r="F150" t="s">
        <v>249</v>
      </c>
      <c r="G150">
        <v>500</v>
      </c>
      <c r="I150">
        <v>140</v>
      </c>
      <c r="J150">
        <v>140</v>
      </c>
      <c r="L150">
        <v>31387.852648475</v>
      </c>
      <c r="M150">
        <v>721.54245095507304</v>
      </c>
    </row>
    <row r="151" spans="2:13">
      <c r="B151">
        <v>91499</v>
      </c>
      <c r="C151">
        <v>8110</v>
      </c>
      <c r="D151" t="s">
        <v>76</v>
      </c>
      <c r="E151" t="s">
        <v>14</v>
      </c>
      <c r="F151" t="s">
        <v>249</v>
      </c>
      <c r="G151">
        <v>500</v>
      </c>
      <c r="I151">
        <v>140</v>
      </c>
      <c r="J151">
        <v>140</v>
      </c>
      <c r="L151">
        <v>237322.748942195</v>
      </c>
      <c r="M151">
        <v>2623.6776659432699</v>
      </c>
    </row>
    <row r="152" spans="2:13">
      <c r="B152">
        <v>91504</v>
      </c>
      <c r="C152">
        <v>8110</v>
      </c>
      <c r="D152" t="s">
        <v>76</v>
      </c>
      <c r="E152" t="s">
        <v>14</v>
      </c>
      <c r="F152" t="s">
        <v>249</v>
      </c>
      <c r="G152">
        <v>500</v>
      </c>
      <c r="I152">
        <v>140</v>
      </c>
      <c r="J152">
        <v>140</v>
      </c>
      <c r="L152">
        <v>104886.70712394999</v>
      </c>
      <c r="M152">
        <v>2036.98023569918</v>
      </c>
    </row>
    <row r="153" spans="2:13">
      <c r="B153">
        <v>96636</v>
      </c>
      <c r="C153">
        <v>8110</v>
      </c>
      <c r="D153" t="s">
        <v>76</v>
      </c>
      <c r="E153" t="s">
        <v>14</v>
      </c>
      <c r="F153" t="s">
        <v>249</v>
      </c>
      <c r="G153">
        <v>500</v>
      </c>
      <c r="I153">
        <v>140</v>
      </c>
      <c r="J153">
        <v>140</v>
      </c>
      <c r="L153">
        <v>37337.44115115</v>
      </c>
      <c r="M153">
        <v>1345.23629483735</v>
      </c>
    </row>
    <row r="154" spans="2:13">
      <c r="B154">
        <v>93741</v>
      </c>
      <c r="C154">
        <v>8130</v>
      </c>
      <c r="D154" t="s">
        <v>77</v>
      </c>
      <c r="E154" t="s">
        <v>13</v>
      </c>
      <c r="F154" t="s">
        <v>249</v>
      </c>
      <c r="G154">
        <v>1250</v>
      </c>
      <c r="I154">
        <v>780</v>
      </c>
      <c r="J154">
        <v>80</v>
      </c>
      <c r="K154" t="s">
        <v>264</v>
      </c>
      <c r="L154">
        <v>297050.17454996501</v>
      </c>
      <c r="M154">
        <v>3536.2091342140702</v>
      </c>
    </row>
    <row r="155" spans="2:13">
      <c r="B155">
        <v>114220</v>
      </c>
      <c r="C155">
        <v>8130</v>
      </c>
      <c r="D155" t="s">
        <v>77</v>
      </c>
      <c r="E155" t="s">
        <v>13</v>
      </c>
      <c r="F155" t="s">
        <v>249</v>
      </c>
      <c r="G155">
        <v>1250</v>
      </c>
      <c r="I155">
        <v>780</v>
      </c>
      <c r="J155">
        <v>80</v>
      </c>
      <c r="K155" t="s">
        <v>264</v>
      </c>
      <c r="L155">
        <v>491341.68249633501</v>
      </c>
      <c r="M155">
        <v>4395.37234039945</v>
      </c>
    </row>
    <row r="156" spans="2:13">
      <c r="B156">
        <v>155196</v>
      </c>
      <c r="C156">
        <v>8130</v>
      </c>
      <c r="D156" t="s">
        <v>77</v>
      </c>
      <c r="E156" t="s">
        <v>13</v>
      </c>
      <c r="F156" t="s">
        <v>249</v>
      </c>
      <c r="G156">
        <v>1250</v>
      </c>
      <c r="I156">
        <v>780</v>
      </c>
      <c r="J156">
        <v>80</v>
      </c>
      <c r="K156" t="s">
        <v>264</v>
      </c>
      <c r="L156">
        <v>150836.41266591</v>
      </c>
      <c r="M156">
        <v>1669.1528940902999</v>
      </c>
    </row>
    <row r="157" spans="2:13">
      <c r="B157">
        <v>90233</v>
      </c>
      <c r="C157">
        <v>8150</v>
      </c>
      <c r="D157" t="s">
        <v>78</v>
      </c>
      <c r="E157" t="s">
        <v>13</v>
      </c>
      <c r="F157" t="s">
        <v>249</v>
      </c>
      <c r="G157">
        <v>210</v>
      </c>
      <c r="I157">
        <v>300</v>
      </c>
      <c r="J157">
        <v>70</v>
      </c>
      <c r="L157">
        <v>2399712.9208434299</v>
      </c>
      <c r="M157">
        <v>9392.0897707162294</v>
      </c>
    </row>
    <row r="158" spans="2:13">
      <c r="B158">
        <v>136620</v>
      </c>
      <c r="C158">
        <v>8170</v>
      </c>
      <c r="D158" t="s">
        <v>79</v>
      </c>
      <c r="E158" t="s">
        <v>13</v>
      </c>
      <c r="F158" t="s">
        <v>249</v>
      </c>
      <c r="G158">
        <v>1000</v>
      </c>
      <c r="I158">
        <v>300</v>
      </c>
      <c r="J158">
        <v>40</v>
      </c>
      <c r="L158">
        <v>6212602.8732270999</v>
      </c>
      <c r="M158">
        <v>1791</v>
      </c>
    </row>
    <row r="159" spans="2:13">
      <c r="B159">
        <v>92142</v>
      </c>
      <c r="C159">
        <v>9263</v>
      </c>
      <c r="D159" t="s">
        <v>80</v>
      </c>
      <c r="E159" t="s">
        <v>13</v>
      </c>
      <c r="F159" t="s">
        <v>249</v>
      </c>
      <c r="G159">
        <v>275</v>
      </c>
      <c r="I159">
        <v>340</v>
      </c>
      <c r="J159">
        <v>60</v>
      </c>
      <c r="L159">
        <v>1868502.4717810501</v>
      </c>
      <c r="M159">
        <v>1294</v>
      </c>
    </row>
    <row r="160" spans="2:13">
      <c r="B160">
        <v>112938</v>
      </c>
      <c r="C160">
        <v>9263</v>
      </c>
      <c r="D160" t="s">
        <v>80</v>
      </c>
      <c r="E160" t="s">
        <v>13</v>
      </c>
      <c r="F160" t="s">
        <v>249</v>
      </c>
      <c r="G160">
        <v>275</v>
      </c>
      <c r="I160">
        <v>340</v>
      </c>
      <c r="J160">
        <v>60</v>
      </c>
      <c r="L160">
        <v>204733.38321180499</v>
      </c>
      <c r="M160">
        <v>2165.8058196217698</v>
      </c>
    </row>
    <row r="161" spans="2:13">
      <c r="B161">
        <v>114221</v>
      </c>
      <c r="C161">
        <v>8600</v>
      </c>
      <c r="D161" t="s">
        <v>81</v>
      </c>
      <c r="E161" t="s">
        <v>13</v>
      </c>
      <c r="F161" t="s">
        <v>249</v>
      </c>
      <c r="G161">
        <v>1600</v>
      </c>
      <c r="I161">
        <v>500</v>
      </c>
      <c r="J161">
        <v>40</v>
      </c>
      <c r="L161">
        <v>1454877</v>
      </c>
      <c r="M161">
        <v>4695</v>
      </c>
    </row>
    <row r="162" spans="2:13">
      <c r="B162">
        <v>94713</v>
      </c>
      <c r="C162">
        <v>8220</v>
      </c>
      <c r="D162" t="s">
        <v>82</v>
      </c>
      <c r="E162" t="s">
        <v>13</v>
      </c>
      <c r="F162" t="s">
        <v>249</v>
      </c>
      <c r="G162">
        <v>2000</v>
      </c>
      <c r="I162">
        <v>1600</v>
      </c>
      <c r="J162">
        <v>140</v>
      </c>
      <c r="L162">
        <v>2104977</v>
      </c>
      <c r="M162">
        <v>3708</v>
      </c>
    </row>
    <row r="163" spans="2:13">
      <c r="B163">
        <v>94396</v>
      </c>
      <c r="C163">
        <v>8270</v>
      </c>
      <c r="D163" t="s">
        <v>83</v>
      </c>
      <c r="E163" t="s">
        <v>13</v>
      </c>
      <c r="F163" t="s">
        <v>249</v>
      </c>
      <c r="G163">
        <v>1550</v>
      </c>
      <c r="I163">
        <v>500</v>
      </c>
      <c r="J163">
        <v>80</v>
      </c>
      <c r="L163">
        <v>1712060.6465161</v>
      </c>
      <c r="M163">
        <v>8346.8532880762104</v>
      </c>
    </row>
    <row r="164" spans="2:13">
      <c r="B164">
        <v>95352</v>
      </c>
      <c r="C164">
        <v>9075</v>
      </c>
      <c r="D164" t="s">
        <v>84</v>
      </c>
      <c r="E164" t="s">
        <v>13</v>
      </c>
      <c r="F164" t="s">
        <v>249</v>
      </c>
      <c r="G164">
        <v>3600</v>
      </c>
      <c r="I164">
        <v>11000</v>
      </c>
      <c r="J164">
        <v>200</v>
      </c>
      <c r="K164" t="s">
        <v>265</v>
      </c>
      <c r="L164">
        <v>1205996</v>
      </c>
      <c r="M164">
        <v>2709</v>
      </c>
    </row>
    <row r="165" spans="2:13">
      <c r="B165">
        <v>94393</v>
      </c>
      <c r="C165">
        <v>8310</v>
      </c>
      <c r="D165" t="s">
        <v>85</v>
      </c>
      <c r="E165" t="s">
        <v>13</v>
      </c>
      <c r="F165" t="s">
        <v>249</v>
      </c>
      <c r="G165">
        <v>1000</v>
      </c>
      <c r="I165">
        <v>440</v>
      </c>
      <c r="J165">
        <v>60</v>
      </c>
      <c r="L165">
        <v>1779379.0099267999</v>
      </c>
      <c r="M165">
        <v>7292.5399186004697</v>
      </c>
    </row>
    <row r="166" spans="2:13">
      <c r="B166">
        <v>94394</v>
      </c>
      <c r="C166">
        <v>8310</v>
      </c>
      <c r="D166" t="s">
        <v>85</v>
      </c>
      <c r="E166" t="s">
        <v>13</v>
      </c>
      <c r="F166" t="s">
        <v>249</v>
      </c>
      <c r="G166">
        <v>1000</v>
      </c>
      <c r="I166">
        <v>440</v>
      </c>
      <c r="J166">
        <v>60</v>
      </c>
      <c r="L166">
        <v>3000574.3171236599</v>
      </c>
      <c r="M166">
        <v>1345</v>
      </c>
    </row>
    <row r="167" spans="2:13">
      <c r="B167">
        <v>93740</v>
      </c>
      <c r="C167">
        <v>9493</v>
      </c>
      <c r="D167" t="s">
        <v>86</v>
      </c>
      <c r="E167" t="s">
        <v>13</v>
      </c>
      <c r="F167" t="s">
        <v>249</v>
      </c>
      <c r="G167">
        <v>1000</v>
      </c>
      <c r="I167">
        <v>640</v>
      </c>
      <c r="J167">
        <v>100</v>
      </c>
      <c r="L167">
        <v>4473445.1447146898</v>
      </c>
      <c r="M167">
        <v>1141</v>
      </c>
    </row>
    <row r="168" spans="2:13">
      <c r="B168">
        <v>93739</v>
      </c>
      <c r="C168">
        <v>9493</v>
      </c>
      <c r="D168" t="s">
        <v>86</v>
      </c>
      <c r="E168" t="s">
        <v>13</v>
      </c>
      <c r="F168" t="s">
        <v>249</v>
      </c>
      <c r="G168">
        <v>1000</v>
      </c>
      <c r="I168">
        <v>640</v>
      </c>
      <c r="J168">
        <v>100</v>
      </c>
      <c r="L168">
        <v>1693995.50572233</v>
      </c>
      <c r="M168">
        <v>5417.9847310199602</v>
      </c>
    </row>
    <row r="169" spans="2:13">
      <c r="B169">
        <v>91182</v>
      </c>
      <c r="C169">
        <v>10102</v>
      </c>
      <c r="D169" t="s">
        <v>87</v>
      </c>
      <c r="E169" t="s">
        <v>13</v>
      </c>
      <c r="F169" t="s">
        <v>249</v>
      </c>
      <c r="G169">
        <v>475</v>
      </c>
      <c r="H169">
        <v>220</v>
      </c>
      <c r="I169">
        <v>220</v>
      </c>
      <c r="J169">
        <v>60</v>
      </c>
      <c r="L169">
        <v>2549635.1473134202</v>
      </c>
      <c r="M169">
        <v>8805.4559062543194</v>
      </c>
    </row>
    <row r="170" spans="2:13">
      <c r="B170">
        <v>144632</v>
      </c>
      <c r="C170">
        <v>10243</v>
      </c>
      <c r="D170" t="s">
        <v>87</v>
      </c>
      <c r="E170" t="s">
        <v>13</v>
      </c>
      <c r="F170" t="s">
        <v>249</v>
      </c>
      <c r="I170">
        <v>280</v>
      </c>
      <c r="J170">
        <v>60</v>
      </c>
      <c r="L170">
        <v>661522.686860585</v>
      </c>
      <c r="M170">
        <v>3824.7731344035001</v>
      </c>
    </row>
    <row r="171" spans="2:13">
      <c r="B171">
        <v>144618</v>
      </c>
      <c r="C171">
        <v>10243</v>
      </c>
      <c r="D171" t="s">
        <v>87</v>
      </c>
      <c r="E171" t="s">
        <v>13</v>
      </c>
      <c r="F171" t="s">
        <v>249</v>
      </c>
      <c r="I171">
        <v>280</v>
      </c>
      <c r="J171">
        <v>60</v>
      </c>
      <c r="L171">
        <v>345485.94394684001</v>
      </c>
      <c r="M171">
        <v>3660.2141276735101</v>
      </c>
    </row>
    <row r="172" spans="2:13">
      <c r="B172">
        <v>144619</v>
      </c>
      <c r="C172">
        <v>10243</v>
      </c>
      <c r="D172" t="s">
        <v>87</v>
      </c>
      <c r="E172" t="s">
        <v>13</v>
      </c>
      <c r="F172" t="s">
        <v>249</v>
      </c>
      <c r="I172">
        <v>280</v>
      </c>
      <c r="J172">
        <v>60</v>
      </c>
      <c r="L172">
        <v>267907.68836225499</v>
      </c>
      <c r="M172">
        <v>2297.8950730492202</v>
      </c>
    </row>
    <row r="173" spans="2:13">
      <c r="B173">
        <v>144631</v>
      </c>
      <c r="C173">
        <v>10243</v>
      </c>
      <c r="D173" t="s">
        <v>87</v>
      </c>
      <c r="E173" t="s">
        <v>13</v>
      </c>
      <c r="F173" t="s">
        <v>249</v>
      </c>
      <c r="I173">
        <v>280</v>
      </c>
      <c r="J173">
        <v>60</v>
      </c>
      <c r="L173">
        <v>212059.02576130501</v>
      </c>
      <c r="M173">
        <v>2107.0143733436098</v>
      </c>
    </row>
    <row r="174" spans="2:13">
      <c r="B174">
        <v>129584</v>
      </c>
      <c r="C174">
        <v>8550</v>
      </c>
      <c r="D174" t="s">
        <v>88</v>
      </c>
      <c r="E174" t="s">
        <v>13</v>
      </c>
      <c r="F174" t="s">
        <v>249</v>
      </c>
      <c r="G174">
        <v>350</v>
      </c>
      <c r="I174">
        <v>240</v>
      </c>
      <c r="J174">
        <v>20</v>
      </c>
      <c r="L174">
        <v>3707525.5003033802</v>
      </c>
      <c r="M174">
        <v>1332</v>
      </c>
    </row>
    <row r="175" spans="2:13">
      <c r="B175">
        <v>90232</v>
      </c>
      <c r="C175">
        <v>8560</v>
      </c>
      <c r="D175" t="s">
        <v>89</v>
      </c>
      <c r="E175" t="s">
        <v>13</v>
      </c>
      <c r="F175" t="s">
        <v>249</v>
      </c>
      <c r="G175">
        <v>700</v>
      </c>
      <c r="I175">
        <v>720</v>
      </c>
      <c r="J175">
        <v>80</v>
      </c>
      <c r="L175">
        <v>48803.375306069996</v>
      </c>
      <c r="M175">
        <v>954.96936097202797</v>
      </c>
    </row>
    <row r="176" spans="2:13">
      <c r="B176">
        <v>91180</v>
      </c>
      <c r="C176">
        <v>8581</v>
      </c>
      <c r="D176" t="s">
        <v>90</v>
      </c>
      <c r="E176" t="s">
        <v>13</v>
      </c>
      <c r="F176" t="s">
        <v>249</v>
      </c>
      <c r="G176">
        <v>500</v>
      </c>
      <c r="H176">
        <v>200</v>
      </c>
      <c r="I176">
        <v>200</v>
      </c>
      <c r="J176">
        <v>60</v>
      </c>
      <c r="L176">
        <v>2905567.71438235</v>
      </c>
      <c r="M176">
        <v>1133</v>
      </c>
    </row>
    <row r="177" spans="2:13">
      <c r="B177">
        <v>132138</v>
      </c>
      <c r="C177">
        <v>10413</v>
      </c>
      <c r="D177" t="s">
        <v>91</v>
      </c>
      <c r="E177" t="s">
        <v>13</v>
      </c>
      <c r="F177" t="s">
        <v>249</v>
      </c>
      <c r="G177">
        <v>115</v>
      </c>
      <c r="I177">
        <v>100</v>
      </c>
      <c r="J177">
        <v>20</v>
      </c>
      <c r="L177">
        <v>531419.87849124998</v>
      </c>
      <c r="M177">
        <v>4538.1135417519499</v>
      </c>
    </row>
    <row r="178" spans="2:13">
      <c r="B178">
        <v>153581</v>
      </c>
      <c r="C178">
        <v>10217</v>
      </c>
      <c r="D178" t="s">
        <v>92</v>
      </c>
      <c r="E178" t="s">
        <v>13</v>
      </c>
      <c r="F178" t="s">
        <v>249</v>
      </c>
      <c r="G178">
        <v>70</v>
      </c>
      <c r="H178">
        <v>60</v>
      </c>
      <c r="I178">
        <v>60</v>
      </c>
      <c r="J178">
        <v>60</v>
      </c>
      <c r="K178" t="s">
        <v>266</v>
      </c>
      <c r="L178">
        <v>286745.67491159</v>
      </c>
      <c r="M178">
        <v>2427.6987015280101</v>
      </c>
    </row>
    <row r="179" spans="2:13">
      <c r="B179">
        <v>136625</v>
      </c>
      <c r="C179">
        <v>10301</v>
      </c>
      <c r="D179" t="s">
        <v>92</v>
      </c>
      <c r="E179" t="s">
        <v>13</v>
      </c>
      <c r="F179" t="s">
        <v>249</v>
      </c>
      <c r="G179">
        <v>230</v>
      </c>
      <c r="I179">
        <v>100</v>
      </c>
      <c r="J179">
        <v>20</v>
      </c>
      <c r="K179" t="s">
        <v>267</v>
      </c>
      <c r="L179">
        <v>1224275.6064907699</v>
      </c>
      <c r="M179">
        <v>5002.3428084056004</v>
      </c>
    </row>
    <row r="180" spans="2:13">
      <c r="B180">
        <v>92145</v>
      </c>
      <c r="C180">
        <v>11387</v>
      </c>
      <c r="D180" t="s">
        <v>268</v>
      </c>
      <c r="E180" t="s">
        <v>13</v>
      </c>
      <c r="F180" t="s">
        <v>249</v>
      </c>
      <c r="G180">
        <v>490</v>
      </c>
      <c r="I180">
        <v>300</v>
      </c>
      <c r="J180">
        <v>60</v>
      </c>
      <c r="L180">
        <v>1896796.26342481</v>
      </c>
      <c r="M180">
        <v>9656.2190291582501</v>
      </c>
    </row>
    <row r="181" spans="2:13">
      <c r="B181">
        <v>91824</v>
      </c>
      <c r="C181">
        <v>11423</v>
      </c>
      <c r="D181" t="s">
        <v>268</v>
      </c>
      <c r="E181" t="s">
        <v>13</v>
      </c>
      <c r="F181" t="s">
        <v>249</v>
      </c>
      <c r="G181">
        <v>450</v>
      </c>
      <c r="I181">
        <v>220</v>
      </c>
      <c r="J181">
        <v>80</v>
      </c>
      <c r="L181">
        <v>2880926.8161120098</v>
      </c>
      <c r="M181">
        <v>8424.2092810044505</v>
      </c>
    </row>
    <row r="182" spans="2:13">
      <c r="B182">
        <v>90553</v>
      </c>
      <c r="C182">
        <v>8635</v>
      </c>
      <c r="D182" t="s">
        <v>93</v>
      </c>
      <c r="E182" t="s">
        <v>13</v>
      </c>
      <c r="F182" t="s">
        <v>249</v>
      </c>
      <c r="I182">
        <v>100</v>
      </c>
      <c r="L182">
        <v>50232.416134095001</v>
      </c>
      <c r="M182">
        <v>1012.52190418543</v>
      </c>
    </row>
    <row r="183" spans="2:13">
      <c r="B183">
        <v>90552</v>
      </c>
      <c r="C183">
        <v>8635</v>
      </c>
      <c r="D183" t="s">
        <v>93</v>
      </c>
      <c r="E183" t="s">
        <v>13</v>
      </c>
      <c r="F183" t="s">
        <v>249</v>
      </c>
      <c r="I183">
        <v>100</v>
      </c>
      <c r="L183">
        <v>306646.31832406</v>
      </c>
      <c r="M183">
        <v>2294.2015078059999</v>
      </c>
    </row>
    <row r="184" spans="2:13">
      <c r="B184">
        <v>156795</v>
      </c>
      <c r="C184">
        <v>8650</v>
      </c>
      <c r="D184" t="s">
        <v>94</v>
      </c>
      <c r="E184" t="s">
        <v>13</v>
      </c>
      <c r="F184" t="s">
        <v>249</v>
      </c>
      <c r="G184">
        <v>2500</v>
      </c>
      <c r="I184">
        <v>1600</v>
      </c>
      <c r="J184">
        <v>180</v>
      </c>
      <c r="K184" t="s">
        <v>250</v>
      </c>
      <c r="L184">
        <v>1044618.80363461</v>
      </c>
      <c r="M184">
        <v>4861.9858099684598</v>
      </c>
    </row>
    <row r="185" spans="2:13">
      <c r="B185">
        <v>156796</v>
      </c>
      <c r="C185">
        <v>8650</v>
      </c>
      <c r="D185" t="s">
        <v>94</v>
      </c>
      <c r="E185" t="s">
        <v>13</v>
      </c>
      <c r="F185" t="s">
        <v>249</v>
      </c>
      <c r="G185">
        <v>2500</v>
      </c>
      <c r="I185">
        <v>1600</v>
      </c>
      <c r="J185">
        <v>180</v>
      </c>
      <c r="K185" t="s">
        <v>250</v>
      </c>
      <c r="L185">
        <v>245163.78515815499</v>
      </c>
      <c r="M185">
        <v>1989.8819996289001</v>
      </c>
    </row>
    <row r="186" spans="2:13">
      <c r="B186">
        <v>156794</v>
      </c>
      <c r="C186">
        <v>8650</v>
      </c>
      <c r="D186" t="s">
        <v>94</v>
      </c>
      <c r="E186" t="s">
        <v>13</v>
      </c>
      <c r="F186" t="s">
        <v>249</v>
      </c>
      <c r="G186">
        <v>2500</v>
      </c>
      <c r="I186">
        <v>1600</v>
      </c>
      <c r="J186">
        <v>180</v>
      </c>
      <c r="K186" t="s">
        <v>250</v>
      </c>
      <c r="L186">
        <v>2103987</v>
      </c>
      <c r="M186">
        <v>3362</v>
      </c>
    </row>
    <row r="187" spans="2:13">
      <c r="B187">
        <v>156797</v>
      </c>
      <c r="C187">
        <v>8650</v>
      </c>
      <c r="D187" t="s">
        <v>94</v>
      </c>
      <c r="E187" t="s">
        <v>13</v>
      </c>
      <c r="F187" t="s">
        <v>249</v>
      </c>
      <c r="G187">
        <v>2500</v>
      </c>
      <c r="I187">
        <v>1600</v>
      </c>
      <c r="J187">
        <v>180</v>
      </c>
      <c r="K187" t="s">
        <v>250</v>
      </c>
      <c r="L187">
        <v>647064.92312319495</v>
      </c>
      <c r="M187">
        <v>4794.3366407059802</v>
      </c>
    </row>
    <row r="188" spans="2:13">
      <c r="B188">
        <v>91825</v>
      </c>
      <c r="C188">
        <v>8650</v>
      </c>
      <c r="D188" t="s">
        <v>94</v>
      </c>
      <c r="E188" t="s">
        <v>13</v>
      </c>
      <c r="F188" t="s">
        <v>249</v>
      </c>
      <c r="G188">
        <v>2500</v>
      </c>
      <c r="I188">
        <v>1600</v>
      </c>
      <c r="J188">
        <v>180</v>
      </c>
      <c r="K188" t="s">
        <v>250</v>
      </c>
      <c r="L188">
        <v>1858000.27381421</v>
      </c>
      <c r="M188">
        <v>8233.7731441839296</v>
      </c>
    </row>
    <row r="189" spans="2:13">
      <c r="B189">
        <v>95684</v>
      </c>
      <c r="C189">
        <v>8670</v>
      </c>
      <c r="D189" t="s">
        <v>95</v>
      </c>
      <c r="E189" t="s">
        <v>13</v>
      </c>
      <c r="F189" t="s">
        <v>249</v>
      </c>
      <c r="G189">
        <v>1000</v>
      </c>
      <c r="I189">
        <v>680</v>
      </c>
      <c r="J189">
        <v>60</v>
      </c>
      <c r="L189">
        <v>1282222.5510488499</v>
      </c>
      <c r="M189">
        <v>5971.9211587729897</v>
      </c>
    </row>
    <row r="190" spans="2:13">
      <c r="B190">
        <v>95676</v>
      </c>
      <c r="C190">
        <v>8670</v>
      </c>
      <c r="D190" t="s">
        <v>95</v>
      </c>
      <c r="E190" t="s">
        <v>13</v>
      </c>
      <c r="F190" t="s">
        <v>249</v>
      </c>
      <c r="G190">
        <v>1000</v>
      </c>
      <c r="I190">
        <v>680</v>
      </c>
      <c r="J190">
        <v>60</v>
      </c>
      <c r="L190">
        <v>121792.576455445</v>
      </c>
      <c r="M190">
        <v>2201.2383549411702</v>
      </c>
    </row>
    <row r="191" spans="2:13">
      <c r="B191">
        <v>95677</v>
      </c>
      <c r="C191">
        <v>8670</v>
      </c>
      <c r="D191" t="s">
        <v>95</v>
      </c>
      <c r="E191" t="s">
        <v>13</v>
      </c>
      <c r="F191" t="s">
        <v>249</v>
      </c>
      <c r="G191">
        <v>1000</v>
      </c>
      <c r="I191">
        <v>680</v>
      </c>
      <c r="J191">
        <v>60</v>
      </c>
      <c r="L191">
        <v>1109767.6302386399</v>
      </c>
      <c r="M191">
        <v>5949.3493433071699</v>
      </c>
    </row>
    <row r="192" spans="2:13">
      <c r="B192">
        <v>95678</v>
      </c>
      <c r="C192">
        <v>8670</v>
      </c>
      <c r="D192" t="s">
        <v>95</v>
      </c>
      <c r="E192" t="s">
        <v>13</v>
      </c>
      <c r="F192" t="s">
        <v>249</v>
      </c>
      <c r="G192">
        <v>1000</v>
      </c>
      <c r="I192">
        <v>680</v>
      </c>
      <c r="J192">
        <v>60</v>
      </c>
      <c r="L192">
        <v>114968.77810157499</v>
      </c>
      <c r="M192">
        <v>2181.8178089888902</v>
      </c>
    </row>
    <row r="193" spans="2:13">
      <c r="B193">
        <v>144623</v>
      </c>
      <c r="C193">
        <v>7694</v>
      </c>
      <c r="D193" t="s">
        <v>96</v>
      </c>
      <c r="E193" t="s">
        <v>13</v>
      </c>
      <c r="F193" t="s">
        <v>249</v>
      </c>
      <c r="G193">
        <v>1500</v>
      </c>
      <c r="I193">
        <v>1180</v>
      </c>
      <c r="L193">
        <v>164186.81402535501</v>
      </c>
      <c r="M193">
        <v>1868.17989313566</v>
      </c>
    </row>
    <row r="194" spans="2:13">
      <c r="B194">
        <v>144621</v>
      </c>
      <c r="C194">
        <v>7694</v>
      </c>
      <c r="D194" t="s">
        <v>96</v>
      </c>
      <c r="E194" t="s">
        <v>13</v>
      </c>
      <c r="F194" t="s">
        <v>249</v>
      </c>
      <c r="G194">
        <v>1500</v>
      </c>
      <c r="I194">
        <v>1180</v>
      </c>
      <c r="L194">
        <v>159721.05688505</v>
      </c>
      <c r="M194">
        <v>1762.9592927685101</v>
      </c>
    </row>
    <row r="195" spans="2:13">
      <c r="B195">
        <v>144629</v>
      </c>
      <c r="C195">
        <v>7694</v>
      </c>
      <c r="D195" t="s">
        <v>96</v>
      </c>
      <c r="E195" t="s">
        <v>13</v>
      </c>
      <c r="F195" t="s">
        <v>249</v>
      </c>
      <c r="G195">
        <v>1500</v>
      </c>
      <c r="I195">
        <v>1180</v>
      </c>
      <c r="L195">
        <v>236082.90814273499</v>
      </c>
      <c r="M195">
        <v>2032.8093201715999</v>
      </c>
    </row>
    <row r="196" spans="2:13">
      <c r="B196">
        <v>144630</v>
      </c>
      <c r="C196">
        <v>7694</v>
      </c>
      <c r="D196" t="s">
        <v>96</v>
      </c>
      <c r="E196" t="s">
        <v>13</v>
      </c>
      <c r="F196" t="s">
        <v>249</v>
      </c>
      <c r="G196">
        <v>1500</v>
      </c>
      <c r="I196">
        <v>1180</v>
      </c>
      <c r="L196">
        <v>222125.718178735</v>
      </c>
      <c r="M196">
        <v>2184.8760848983002</v>
      </c>
    </row>
    <row r="197" spans="2:13">
      <c r="B197">
        <v>144622</v>
      </c>
      <c r="C197">
        <v>7694</v>
      </c>
      <c r="D197" t="s">
        <v>96</v>
      </c>
      <c r="E197" t="s">
        <v>13</v>
      </c>
      <c r="F197" t="s">
        <v>249</v>
      </c>
      <c r="G197">
        <v>1500</v>
      </c>
      <c r="I197">
        <v>1180</v>
      </c>
      <c r="L197">
        <v>79644.25754536</v>
      </c>
      <c r="M197">
        <v>1165.62687577819</v>
      </c>
    </row>
    <row r="198" spans="2:13">
      <c r="B198">
        <v>144620</v>
      </c>
      <c r="C198">
        <v>7694</v>
      </c>
      <c r="D198" t="s">
        <v>96</v>
      </c>
      <c r="E198" t="s">
        <v>13</v>
      </c>
      <c r="F198" t="s">
        <v>249</v>
      </c>
      <c r="G198">
        <v>1500</v>
      </c>
      <c r="I198">
        <v>1180</v>
      </c>
      <c r="L198">
        <v>473228.52595530503</v>
      </c>
      <c r="M198">
        <v>3927.9773290384501</v>
      </c>
    </row>
    <row r="199" spans="2:13">
      <c r="B199">
        <v>144628</v>
      </c>
      <c r="C199">
        <v>7694</v>
      </c>
      <c r="D199" t="s">
        <v>96</v>
      </c>
      <c r="E199" t="s">
        <v>13</v>
      </c>
      <c r="F199" t="s">
        <v>249</v>
      </c>
      <c r="G199">
        <v>1500</v>
      </c>
      <c r="I199">
        <v>1180</v>
      </c>
      <c r="L199">
        <v>811497.58854270005</v>
      </c>
      <c r="M199">
        <v>5418.0523422333999</v>
      </c>
    </row>
    <row r="200" spans="2:13">
      <c r="B200">
        <v>144625</v>
      </c>
      <c r="C200">
        <v>7694</v>
      </c>
      <c r="D200" t="s">
        <v>96</v>
      </c>
      <c r="E200" t="s">
        <v>13</v>
      </c>
      <c r="F200" t="s">
        <v>249</v>
      </c>
      <c r="G200">
        <v>1500</v>
      </c>
      <c r="I200">
        <v>1180</v>
      </c>
      <c r="L200">
        <v>1205865.7362492499</v>
      </c>
      <c r="M200">
        <v>5487.4265083963501</v>
      </c>
    </row>
    <row r="201" spans="2:13">
      <c r="B201">
        <v>144626</v>
      </c>
      <c r="C201">
        <v>7694</v>
      </c>
      <c r="D201" t="s">
        <v>96</v>
      </c>
      <c r="E201" t="s">
        <v>13</v>
      </c>
      <c r="F201" t="s">
        <v>249</v>
      </c>
      <c r="G201">
        <v>1500</v>
      </c>
      <c r="I201">
        <v>1180</v>
      </c>
      <c r="L201">
        <v>454552.99105270498</v>
      </c>
      <c r="M201">
        <v>3369.0412039784801</v>
      </c>
    </row>
    <row r="202" spans="2:13">
      <c r="B202">
        <v>144627</v>
      </c>
      <c r="C202">
        <v>7694</v>
      </c>
      <c r="D202" t="s">
        <v>96</v>
      </c>
      <c r="E202" t="s">
        <v>13</v>
      </c>
      <c r="F202" t="s">
        <v>249</v>
      </c>
      <c r="G202">
        <v>1500</v>
      </c>
      <c r="I202">
        <v>1180</v>
      </c>
      <c r="L202">
        <v>309320.55162818002</v>
      </c>
      <c r="M202">
        <v>2374.3359659125099</v>
      </c>
    </row>
    <row r="203" spans="2:13">
      <c r="B203">
        <v>144624</v>
      </c>
      <c r="C203">
        <v>7694</v>
      </c>
      <c r="D203" t="s">
        <v>96</v>
      </c>
      <c r="E203" t="s">
        <v>13</v>
      </c>
      <c r="F203" t="s">
        <v>249</v>
      </c>
      <c r="G203">
        <v>1500</v>
      </c>
      <c r="I203">
        <v>1180</v>
      </c>
      <c r="L203">
        <v>302577.922990555</v>
      </c>
      <c r="M203">
        <v>2389.2352537481001</v>
      </c>
    </row>
    <row r="204" spans="2:13">
      <c r="B204">
        <v>95023</v>
      </c>
      <c r="C204">
        <v>7694</v>
      </c>
      <c r="D204" t="s">
        <v>96</v>
      </c>
      <c r="E204" t="s">
        <v>13</v>
      </c>
      <c r="F204" t="s">
        <v>249</v>
      </c>
      <c r="G204">
        <v>1500</v>
      </c>
      <c r="I204">
        <v>1180</v>
      </c>
      <c r="L204">
        <v>1153800.9531077901</v>
      </c>
      <c r="M204">
        <v>8181.15831800264</v>
      </c>
    </row>
    <row r="205" spans="2:13">
      <c r="B205">
        <v>95024</v>
      </c>
      <c r="C205">
        <v>7694</v>
      </c>
      <c r="D205" t="s">
        <v>96</v>
      </c>
      <c r="E205" t="s">
        <v>13</v>
      </c>
      <c r="F205" t="s">
        <v>249</v>
      </c>
      <c r="G205">
        <v>1500</v>
      </c>
      <c r="I205">
        <v>1180</v>
      </c>
      <c r="L205">
        <v>1198779.91470708</v>
      </c>
      <c r="M205">
        <v>5482.1625229492802</v>
      </c>
    </row>
    <row r="206" spans="2:13">
      <c r="B206">
        <v>95025</v>
      </c>
      <c r="C206">
        <v>7694</v>
      </c>
      <c r="D206" t="s">
        <v>96</v>
      </c>
      <c r="E206" t="s">
        <v>13</v>
      </c>
      <c r="F206" t="s">
        <v>249</v>
      </c>
      <c r="G206">
        <v>1500</v>
      </c>
      <c r="I206">
        <v>1180</v>
      </c>
      <c r="L206">
        <v>221728.25396997001</v>
      </c>
      <c r="M206">
        <v>2176.3393345238501</v>
      </c>
    </row>
    <row r="207" spans="2:13">
      <c r="B207">
        <v>137898</v>
      </c>
      <c r="C207">
        <v>2623</v>
      </c>
      <c r="D207" t="s">
        <v>97</v>
      </c>
      <c r="E207" t="s">
        <v>13</v>
      </c>
      <c r="F207" t="s">
        <v>249</v>
      </c>
      <c r="G207">
        <v>750</v>
      </c>
      <c r="I207">
        <v>300</v>
      </c>
      <c r="J207">
        <v>60</v>
      </c>
      <c r="L207">
        <v>3099335.39903065</v>
      </c>
      <c r="M207">
        <v>9128.35004386742</v>
      </c>
    </row>
    <row r="208" spans="2:13">
      <c r="B208">
        <v>92143</v>
      </c>
      <c r="C208">
        <v>8790</v>
      </c>
      <c r="D208" t="s">
        <v>98</v>
      </c>
      <c r="E208" t="s">
        <v>13</v>
      </c>
      <c r="F208" t="s">
        <v>249</v>
      </c>
      <c r="G208">
        <v>1500</v>
      </c>
      <c r="I208">
        <v>920</v>
      </c>
      <c r="J208">
        <v>100</v>
      </c>
      <c r="L208">
        <v>1750262</v>
      </c>
      <c r="M208">
        <v>5094</v>
      </c>
    </row>
    <row r="209" spans="2:13">
      <c r="B209">
        <v>94400</v>
      </c>
      <c r="C209">
        <v>8812</v>
      </c>
      <c r="D209" t="s">
        <v>99</v>
      </c>
      <c r="E209" t="s">
        <v>13</v>
      </c>
      <c r="F209" t="s">
        <v>249</v>
      </c>
      <c r="G209">
        <v>6760</v>
      </c>
      <c r="I209">
        <v>2780</v>
      </c>
      <c r="J209">
        <v>240</v>
      </c>
      <c r="L209">
        <v>573162.00752719503</v>
      </c>
      <c r="M209">
        <v>3512.5469552621698</v>
      </c>
    </row>
    <row r="210" spans="2:13">
      <c r="B210">
        <v>94403</v>
      </c>
      <c r="C210">
        <v>8812</v>
      </c>
      <c r="D210" t="s">
        <v>99</v>
      </c>
      <c r="E210" t="s">
        <v>13</v>
      </c>
      <c r="F210" t="s">
        <v>249</v>
      </c>
      <c r="G210">
        <v>6760</v>
      </c>
      <c r="I210">
        <v>2780</v>
      </c>
      <c r="J210">
        <v>240</v>
      </c>
      <c r="L210">
        <v>599245.37811257003</v>
      </c>
      <c r="M210">
        <v>3603.3357440610398</v>
      </c>
    </row>
    <row r="211" spans="2:13">
      <c r="B211">
        <v>94401</v>
      </c>
      <c r="C211">
        <v>8812</v>
      </c>
      <c r="D211" t="s">
        <v>99</v>
      </c>
      <c r="E211" t="s">
        <v>13</v>
      </c>
      <c r="F211" t="s">
        <v>249</v>
      </c>
      <c r="G211">
        <v>6760</v>
      </c>
      <c r="I211">
        <v>2780</v>
      </c>
      <c r="J211">
        <v>240</v>
      </c>
      <c r="L211">
        <v>890391.06280445994</v>
      </c>
      <c r="M211">
        <v>4146.5550918750896</v>
      </c>
    </row>
    <row r="212" spans="2:13">
      <c r="B212">
        <v>94402</v>
      </c>
      <c r="C212">
        <v>8812</v>
      </c>
      <c r="D212" t="s">
        <v>99</v>
      </c>
      <c r="E212" t="s">
        <v>13</v>
      </c>
      <c r="F212" t="s">
        <v>249</v>
      </c>
      <c r="G212">
        <v>6760</v>
      </c>
      <c r="I212">
        <v>2780</v>
      </c>
      <c r="J212">
        <v>240</v>
      </c>
      <c r="L212">
        <v>524670.74653424497</v>
      </c>
      <c r="M212">
        <v>3802.8042836852101</v>
      </c>
    </row>
    <row r="213" spans="2:13">
      <c r="B213">
        <v>94406</v>
      </c>
      <c r="C213">
        <v>8812</v>
      </c>
      <c r="D213" t="s">
        <v>99</v>
      </c>
      <c r="E213" t="s">
        <v>13</v>
      </c>
      <c r="F213" t="s">
        <v>249</v>
      </c>
      <c r="G213">
        <v>6760</v>
      </c>
      <c r="I213">
        <v>2780</v>
      </c>
      <c r="J213">
        <v>240</v>
      </c>
      <c r="L213">
        <v>1516747.26826117</v>
      </c>
      <c r="M213">
        <v>6517.9897037256796</v>
      </c>
    </row>
    <row r="214" spans="2:13">
      <c r="B214">
        <v>94405</v>
      </c>
      <c r="C214">
        <v>8812</v>
      </c>
      <c r="D214" t="s">
        <v>99</v>
      </c>
      <c r="E214" t="s">
        <v>13</v>
      </c>
      <c r="F214" t="s">
        <v>249</v>
      </c>
      <c r="G214">
        <v>6760</v>
      </c>
      <c r="I214">
        <v>2780</v>
      </c>
      <c r="J214">
        <v>240</v>
      </c>
      <c r="L214">
        <v>594522.72639775998</v>
      </c>
      <c r="M214">
        <v>3617.1395591922701</v>
      </c>
    </row>
    <row r="215" spans="2:13">
      <c r="B215">
        <v>94404</v>
      </c>
      <c r="C215">
        <v>8812</v>
      </c>
      <c r="D215" t="s">
        <v>99</v>
      </c>
      <c r="E215" t="s">
        <v>13</v>
      </c>
      <c r="F215" t="s">
        <v>249</v>
      </c>
      <c r="G215">
        <v>6760</v>
      </c>
      <c r="I215">
        <v>2780</v>
      </c>
      <c r="J215">
        <v>240</v>
      </c>
      <c r="L215">
        <v>1203075.1819497601</v>
      </c>
      <c r="M215">
        <v>6933.44172203568</v>
      </c>
    </row>
    <row r="216" spans="2:13">
      <c r="B216">
        <v>94398</v>
      </c>
      <c r="C216">
        <v>8812</v>
      </c>
      <c r="D216" t="s">
        <v>99</v>
      </c>
      <c r="E216" t="s">
        <v>13</v>
      </c>
      <c r="F216" t="s">
        <v>249</v>
      </c>
      <c r="G216">
        <v>6760</v>
      </c>
      <c r="I216">
        <v>2780</v>
      </c>
      <c r="J216">
        <v>240</v>
      </c>
      <c r="L216">
        <v>1219357.4027156699</v>
      </c>
      <c r="M216">
        <v>8090.5089220357904</v>
      </c>
    </row>
    <row r="217" spans="2:13">
      <c r="B217">
        <v>94397</v>
      </c>
      <c r="C217">
        <v>8812</v>
      </c>
      <c r="D217" t="s">
        <v>99</v>
      </c>
      <c r="E217" t="s">
        <v>13</v>
      </c>
      <c r="F217" t="s">
        <v>249</v>
      </c>
      <c r="G217">
        <v>6760</v>
      </c>
      <c r="I217">
        <v>2780</v>
      </c>
      <c r="J217">
        <v>240</v>
      </c>
      <c r="L217">
        <v>1465410.4183280801</v>
      </c>
      <c r="M217">
        <v>7451.6791073136801</v>
      </c>
    </row>
    <row r="218" spans="2:13">
      <c r="B218">
        <v>94399</v>
      </c>
      <c r="C218">
        <v>8812</v>
      </c>
      <c r="D218" t="s">
        <v>99</v>
      </c>
      <c r="E218" t="s">
        <v>13</v>
      </c>
      <c r="F218" t="s">
        <v>249</v>
      </c>
      <c r="G218">
        <v>6760</v>
      </c>
      <c r="I218">
        <v>2780</v>
      </c>
      <c r="J218">
        <v>240</v>
      </c>
      <c r="L218">
        <v>535321.44107612001</v>
      </c>
      <c r="M218">
        <v>3284.5844942191602</v>
      </c>
    </row>
    <row r="219" spans="2:13">
      <c r="B219">
        <v>94407</v>
      </c>
      <c r="C219">
        <v>8812</v>
      </c>
      <c r="D219" t="s">
        <v>99</v>
      </c>
      <c r="E219" t="s">
        <v>13</v>
      </c>
      <c r="F219" t="s">
        <v>249</v>
      </c>
      <c r="G219">
        <v>6760</v>
      </c>
      <c r="I219">
        <v>2780</v>
      </c>
      <c r="J219">
        <v>240</v>
      </c>
      <c r="L219">
        <v>282826.59359241999</v>
      </c>
      <c r="M219">
        <v>2314.2105240505298</v>
      </c>
    </row>
    <row r="220" spans="2:13">
      <c r="B220">
        <v>129908</v>
      </c>
      <c r="C220">
        <v>8870</v>
      </c>
      <c r="D220" t="s">
        <v>100</v>
      </c>
      <c r="E220" t="s">
        <v>13</v>
      </c>
      <c r="F220" t="s">
        <v>249</v>
      </c>
      <c r="G220">
        <v>3100</v>
      </c>
      <c r="I220">
        <v>1560</v>
      </c>
      <c r="J220">
        <v>160</v>
      </c>
      <c r="L220">
        <v>2195955.3614548598</v>
      </c>
      <c r="M220">
        <v>8970.4566512469301</v>
      </c>
    </row>
    <row r="221" spans="2:13">
      <c r="B221">
        <v>129903</v>
      </c>
      <c r="C221">
        <v>8870</v>
      </c>
      <c r="D221" t="s">
        <v>100</v>
      </c>
      <c r="E221" t="s">
        <v>13</v>
      </c>
      <c r="F221" t="s">
        <v>249</v>
      </c>
      <c r="G221">
        <v>3100</v>
      </c>
      <c r="I221">
        <v>1560</v>
      </c>
      <c r="J221">
        <v>160</v>
      </c>
      <c r="L221">
        <v>625121.08653500001</v>
      </c>
      <c r="M221">
        <v>4068.2305181358201</v>
      </c>
    </row>
    <row r="222" spans="2:13">
      <c r="B222">
        <v>129910</v>
      </c>
      <c r="C222">
        <v>8870</v>
      </c>
      <c r="D222" t="s">
        <v>100</v>
      </c>
      <c r="E222" t="s">
        <v>13</v>
      </c>
      <c r="F222" t="s">
        <v>249</v>
      </c>
      <c r="G222">
        <v>3100</v>
      </c>
      <c r="I222">
        <v>1560</v>
      </c>
      <c r="J222">
        <v>160</v>
      </c>
      <c r="L222">
        <v>1116244.79419316</v>
      </c>
      <c r="M222">
        <v>6330.8232345483602</v>
      </c>
    </row>
    <row r="223" spans="2:13">
      <c r="B223">
        <v>129899</v>
      </c>
      <c r="C223">
        <v>8870</v>
      </c>
      <c r="D223" t="s">
        <v>100</v>
      </c>
      <c r="E223" t="s">
        <v>13</v>
      </c>
      <c r="F223" t="s">
        <v>249</v>
      </c>
      <c r="G223">
        <v>3100</v>
      </c>
      <c r="I223">
        <v>1560</v>
      </c>
      <c r="J223">
        <v>160</v>
      </c>
      <c r="L223">
        <v>2236882.9264586898</v>
      </c>
      <c r="M223">
        <v>7244.9115352838899</v>
      </c>
    </row>
    <row r="224" spans="2:13">
      <c r="B224">
        <v>129907</v>
      </c>
      <c r="C224">
        <v>8870</v>
      </c>
      <c r="D224" t="s">
        <v>100</v>
      </c>
      <c r="E224" t="s">
        <v>13</v>
      </c>
      <c r="F224" t="s">
        <v>249</v>
      </c>
      <c r="G224">
        <v>3100</v>
      </c>
      <c r="I224">
        <v>1560</v>
      </c>
      <c r="J224">
        <v>160</v>
      </c>
      <c r="L224">
        <v>1865214.7770951099</v>
      </c>
      <c r="M224">
        <v>6374.3046095977597</v>
      </c>
    </row>
    <row r="225" spans="2:13">
      <c r="B225">
        <v>129905</v>
      </c>
      <c r="C225">
        <v>8870</v>
      </c>
      <c r="D225" t="s">
        <v>100</v>
      </c>
      <c r="E225" t="s">
        <v>13</v>
      </c>
      <c r="F225" t="s">
        <v>249</v>
      </c>
      <c r="G225">
        <v>3100</v>
      </c>
      <c r="I225">
        <v>1560</v>
      </c>
      <c r="J225">
        <v>160</v>
      </c>
      <c r="L225">
        <v>50638.608063665</v>
      </c>
      <c r="M225">
        <v>1219.0339372691799</v>
      </c>
    </row>
    <row r="226" spans="2:13">
      <c r="B226">
        <v>129900</v>
      </c>
      <c r="C226">
        <v>8870</v>
      </c>
      <c r="D226" t="s">
        <v>100</v>
      </c>
      <c r="E226" t="s">
        <v>13</v>
      </c>
      <c r="F226" t="s">
        <v>249</v>
      </c>
      <c r="G226">
        <v>3100</v>
      </c>
      <c r="I226">
        <v>1560</v>
      </c>
      <c r="J226">
        <v>160</v>
      </c>
      <c r="L226">
        <v>1635004.9902959999</v>
      </c>
      <c r="M226">
        <v>6563.4864338378802</v>
      </c>
    </row>
    <row r="227" spans="2:13">
      <c r="B227">
        <v>129909</v>
      </c>
      <c r="C227">
        <v>8870</v>
      </c>
      <c r="D227" t="s">
        <v>100</v>
      </c>
      <c r="E227" t="s">
        <v>13</v>
      </c>
      <c r="F227" t="s">
        <v>249</v>
      </c>
      <c r="G227">
        <v>3100</v>
      </c>
      <c r="I227">
        <v>1560</v>
      </c>
      <c r="J227">
        <v>160</v>
      </c>
      <c r="L227">
        <v>952666.11228901998</v>
      </c>
      <c r="M227">
        <v>3839.89435364268</v>
      </c>
    </row>
    <row r="228" spans="2:13">
      <c r="B228">
        <v>129906</v>
      </c>
      <c r="C228">
        <v>8870</v>
      </c>
      <c r="D228" t="s">
        <v>100</v>
      </c>
      <c r="E228" t="s">
        <v>13</v>
      </c>
      <c r="F228" t="s">
        <v>249</v>
      </c>
      <c r="G228">
        <v>3100</v>
      </c>
      <c r="I228">
        <v>1560</v>
      </c>
      <c r="J228">
        <v>160</v>
      </c>
      <c r="L228">
        <v>1876576.89277555</v>
      </c>
      <c r="M228">
        <v>6726.9740073825396</v>
      </c>
    </row>
    <row r="229" spans="2:13">
      <c r="B229">
        <v>156154</v>
      </c>
      <c r="C229">
        <v>11713</v>
      </c>
      <c r="D229" t="s">
        <v>269</v>
      </c>
      <c r="E229" t="s">
        <v>13</v>
      </c>
      <c r="F229" t="s">
        <v>249</v>
      </c>
      <c r="G229">
        <v>152</v>
      </c>
      <c r="J229">
        <v>100</v>
      </c>
      <c r="K229" t="s">
        <v>270</v>
      </c>
      <c r="L229">
        <v>310822.30406660499</v>
      </c>
      <c r="M229">
        <v>2373.7716840257099</v>
      </c>
    </row>
    <row r="230" spans="2:13">
      <c r="B230">
        <v>156155</v>
      </c>
      <c r="C230">
        <v>11713</v>
      </c>
      <c r="D230" t="s">
        <v>269</v>
      </c>
      <c r="E230" t="s">
        <v>13</v>
      </c>
      <c r="F230" t="s">
        <v>249</v>
      </c>
      <c r="G230">
        <v>152</v>
      </c>
      <c r="J230">
        <v>100</v>
      </c>
      <c r="K230" t="s">
        <v>270</v>
      </c>
      <c r="L230">
        <v>298070.41835620999</v>
      </c>
      <c r="M230">
        <v>2361.77833660035</v>
      </c>
    </row>
    <row r="231" spans="2:13">
      <c r="B231">
        <v>90230</v>
      </c>
      <c r="C231">
        <v>8920</v>
      </c>
      <c r="D231" t="s">
        <v>101</v>
      </c>
      <c r="E231" t="s">
        <v>13</v>
      </c>
      <c r="F231" t="s">
        <v>249</v>
      </c>
      <c r="G231">
        <v>2000</v>
      </c>
      <c r="I231">
        <v>1600</v>
      </c>
      <c r="J231">
        <v>140</v>
      </c>
      <c r="L231">
        <v>974762.31760765996</v>
      </c>
      <c r="M231">
        <v>3966.6969571794102</v>
      </c>
    </row>
    <row r="232" spans="2:13">
      <c r="B232">
        <v>90231</v>
      </c>
      <c r="C232">
        <v>8920</v>
      </c>
      <c r="D232" t="s">
        <v>101</v>
      </c>
      <c r="E232" t="s">
        <v>13</v>
      </c>
      <c r="F232" t="s">
        <v>249</v>
      </c>
      <c r="G232">
        <v>2000</v>
      </c>
      <c r="I232">
        <v>1600</v>
      </c>
      <c r="J232">
        <v>140</v>
      </c>
      <c r="L232">
        <v>1397422</v>
      </c>
      <c r="M232">
        <v>2927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3317-B32B-45C1-A6F9-03316977B050}">
  <sheetPr codeName="Sheet20">
    <tabColor theme="6" tint="0.79998168889431442"/>
  </sheetPr>
  <dimension ref="B5:J94"/>
  <sheetViews>
    <sheetView workbookViewId="0">
      <selection activeCell="D9" sqref="D9"/>
    </sheetView>
  </sheetViews>
  <sheetFormatPr defaultRowHeight="15"/>
  <cols>
    <col min="2" max="2" width="7.28515625" bestFit="1" customWidth="1"/>
    <col min="3" max="3" width="12.7109375" bestFit="1" customWidth="1"/>
    <col min="4" max="4" width="49.28515625" bestFit="1" customWidth="1"/>
    <col min="5" max="6" width="17.28515625" bestFit="1" customWidth="1"/>
    <col min="7" max="8" width="20.28515625" bestFit="1" customWidth="1"/>
    <col min="9" max="9" width="18.7109375" bestFit="1" customWidth="1"/>
    <col min="10" max="10" width="16.85546875" bestFit="1" customWidth="1"/>
  </cols>
  <sheetData>
    <row r="5" spans="2:10">
      <c r="B5" t="s">
        <v>18</v>
      </c>
      <c r="C5" t="s">
        <v>23</v>
      </c>
      <c r="D5" t="s">
        <v>5</v>
      </c>
      <c r="E5" t="s">
        <v>6</v>
      </c>
      <c r="F5" t="s">
        <v>7</v>
      </c>
      <c r="G5" t="s">
        <v>271</v>
      </c>
      <c r="H5" t="s">
        <v>272</v>
      </c>
      <c r="I5" t="s">
        <v>273</v>
      </c>
      <c r="J5" t="s">
        <v>274</v>
      </c>
    </row>
    <row r="6" spans="2:10">
      <c r="B6">
        <v>2023</v>
      </c>
      <c r="C6" t="s">
        <v>214</v>
      </c>
      <c r="D6" t="s">
        <v>275</v>
      </c>
      <c r="E6" t="s">
        <v>276</v>
      </c>
      <c r="F6" t="s">
        <v>277</v>
      </c>
      <c r="G6" t="s">
        <v>277</v>
      </c>
      <c r="H6" t="s">
        <v>277</v>
      </c>
      <c r="I6">
        <v>750</v>
      </c>
      <c r="J6">
        <v>300</v>
      </c>
    </row>
    <row r="7" spans="2:10">
      <c r="B7">
        <v>2023</v>
      </c>
      <c r="C7" t="s">
        <v>203</v>
      </c>
      <c r="D7" t="s">
        <v>278</v>
      </c>
      <c r="E7" t="s">
        <v>276</v>
      </c>
      <c r="F7" t="s">
        <v>277</v>
      </c>
      <c r="G7" t="s">
        <v>276</v>
      </c>
      <c r="H7" t="s">
        <v>277</v>
      </c>
      <c r="I7">
        <v>2500</v>
      </c>
      <c r="J7">
        <v>1600</v>
      </c>
    </row>
    <row r="8" spans="2:10">
      <c r="B8">
        <v>2023</v>
      </c>
      <c r="C8" t="s">
        <v>191</v>
      </c>
      <c r="D8" t="s">
        <v>279</v>
      </c>
      <c r="E8" t="s">
        <v>276</v>
      </c>
      <c r="F8" t="s">
        <v>277</v>
      </c>
      <c r="G8" t="s">
        <v>277</v>
      </c>
      <c r="H8" t="s">
        <v>277</v>
      </c>
      <c r="I8">
        <v>4741</v>
      </c>
      <c r="J8">
        <v>2000</v>
      </c>
    </row>
    <row r="9" spans="2:10">
      <c r="B9">
        <v>2023</v>
      </c>
      <c r="C9" t="s">
        <v>211</v>
      </c>
      <c r="D9" t="s">
        <v>280</v>
      </c>
      <c r="E9" t="s">
        <v>276</v>
      </c>
      <c r="F9" t="s">
        <v>277</v>
      </c>
      <c r="G9" t="s">
        <v>277</v>
      </c>
      <c r="H9" t="s">
        <v>277</v>
      </c>
      <c r="I9">
        <v>1000</v>
      </c>
      <c r="J9">
        <v>640</v>
      </c>
    </row>
    <row r="10" spans="2:10">
      <c r="B10">
        <v>2023</v>
      </c>
      <c r="C10" t="s">
        <v>205</v>
      </c>
      <c r="D10" t="s">
        <v>281</v>
      </c>
      <c r="E10" t="s">
        <v>276</v>
      </c>
      <c r="F10" t="s">
        <v>277</v>
      </c>
      <c r="G10" t="s">
        <v>277</v>
      </c>
      <c r="H10" t="s">
        <v>276</v>
      </c>
      <c r="I10">
        <v>5000</v>
      </c>
      <c r="J10">
        <v>3340</v>
      </c>
    </row>
    <row r="11" spans="2:10">
      <c r="B11">
        <v>2023</v>
      </c>
      <c r="C11" t="s">
        <v>198</v>
      </c>
      <c r="D11" t="s">
        <v>282</v>
      </c>
      <c r="E11" t="s">
        <v>276</v>
      </c>
      <c r="F11" t="s">
        <v>277</v>
      </c>
      <c r="G11" t="s">
        <v>276</v>
      </c>
      <c r="H11" t="s">
        <v>277</v>
      </c>
      <c r="I11">
        <v>2000</v>
      </c>
      <c r="J11">
        <v>1600</v>
      </c>
    </row>
    <row r="12" spans="2:10">
      <c r="B12">
        <v>2023</v>
      </c>
      <c r="C12" t="s">
        <v>205</v>
      </c>
      <c r="D12" t="s">
        <v>283</v>
      </c>
      <c r="E12" t="s">
        <v>276</v>
      </c>
      <c r="F12" t="s">
        <v>277</v>
      </c>
      <c r="G12" t="s">
        <v>276</v>
      </c>
      <c r="H12" t="s">
        <v>276</v>
      </c>
      <c r="I12">
        <v>1500</v>
      </c>
      <c r="J12">
        <v>920</v>
      </c>
    </row>
    <row r="13" spans="2:10">
      <c r="B13">
        <v>2023</v>
      </c>
      <c r="C13" t="s">
        <v>214</v>
      </c>
      <c r="D13" t="s">
        <v>284</v>
      </c>
      <c r="E13" t="s">
        <v>276</v>
      </c>
      <c r="F13" t="s">
        <v>277</v>
      </c>
      <c r="G13" t="s">
        <v>277</v>
      </c>
      <c r="H13" t="s">
        <v>276</v>
      </c>
      <c r="I13">
        <v>450</v>
      </c>
      <c r="J13">
        <v>220</v>
      </c>
    </row>
    <row r="14" spans="2:10">
      <c r="B14">
        <v>2023</v>
      </c>
      <c r="C14" t="s">
        <v>197</v>
      </c>
      <c r="D14" t="s">
        <v>285</v>
      </c>
      <c r="E14" t="s">
        <v>276</v>
      </c>
      <c r="F14" t="s">
        <v>277</v>
      </c>
      <c r="G14" t="s">
        <v>277</v>
      </c>
      <c r="H14" t="s">
        <v>277</v>
      </c>
      <c r="I14">
        <v>650</v>
      </c>
      <c r="J14">
        <v>500</v>
      </c>
    </row>
    <row r="15" spans="2:10">
      <c r="B15">
        <v>2023</v>
      </c>
      <c r="C15" t="s">
        <v>204</v>
      </c>
      <c r="D15" t="s">
        <v>286</v>
      </c>
      <c r="E15" t="s">
        <v>276</v>
      </c>
      <c r="F15" t="s">
        <v>277</v>
      </c>
      <c r="G15" t="s">
        <v>277</v>
      </c>
      <c r="H15" t="s">
        <v>277</v>
      </c>
      <c r="I15">
        <v>1550</v>
      </c>
      <c r="J15">
        <v>500</v>
      </c>
    </row>
    <row r="16" spans="2:10">
      <c r="B16">
        <v>2023</v>
      </c>
      <c r="C16" t="s">
        <v>196</v>
      </c>
      <c r="D16" t="s">
        <v>287</v>
      </c>
      <c r="E16" t="s">
        <v>276</v>
      </c>
      <c r="F16" t="s">
        <v>276</v>
      </c>
      <c r="G16" t="s">
        <v>276</v>
      </c>
      <c r="H16" t="s">
        <v>277</v>
      </c>
      <c r="I16">
        <v>1500</v>
      </c>
      <c r="J16">
        <v>800</v>
      </c>
    </row>
    <row r="17" spans="2:10">
      <c r="B17">
        <v>2023</v>
      </c>
      <c r="C17" t="s">
        <v>203</v>
      </c>
      <c r="D17" t="s">
        <v>288</v>
      </c>
      <c r="E17" t="s">
        <v>276</v>
      </c>
      <c r="F17" t="s">
        <v>277</v>
      </c>
      <c r="G17" t="s">
        <v>277</v>
      </c>
      <c r="H17" t="s">
        <v>277</v>
      </c>
      <c r="I17">
        <v>350</v>
      </c>
      <c r="J17">
        <v>240</v>
      </c>
    </row>
    <row r="18" spans="2:10">
      <c r="B18">
        <v>2023</v>
      </c>
      <c r="C18" t="s">
        <v>204</v>
      </c>
      <c r="D18" t="s">
        <v>289</v>
      </c>
      <c r="E18" t="s">
        <v>276</v>
      </c>
      <c r="F18" t="s">
        <v>277</v>
      </c>
      <c r="G18" t="s">
        <v>277</v>
      </c>
      <c r="H18" t="s">
        <v>277</v>
      </c>
      <c r="I18">
        <v>1000</v>
      </c>
      <c r="J18">
        <v>440</v>
      </c>
    </row>
    <row r="19" spans="2:10">
      <c r="B19">
        <v>2023</v>
      </c>
      <c r="C19" t="s">
        <v>192</v>
      </c>
      <c r="D19" t="s">
        <v>290</v>
      </c>
      <c r="E19" t="s">
        <v>276</v>
      </c>
      <c r="F19" t="s">
        <v>277</v>
      </c>
      <c r="G19" t="s">
        <v>277</v>
      </c>
      <c r="H19" t="s">
        <v>277</v>
      </c>
      <c r="J19">
        <v>200</v>
      </c>
    </row>
    <row r="20" spans="2:10">
      <c r="B20">
        <v>2023</v>
      </c>
      <c r="C20" t="s">
        <v>190</v>
      </c>
      <c r="D20" t="s">
        <v>291</v>
      </c>
      <c r="E20" t="s">
        <v>276</v>
      </c>
      <c r="F20" t="s">
        <v>277</v>
      </c>
      <c r="G20" t="s">
        <v>277</v>
      </c>
      <c r="H20" t="s">
        <v>277</v>
      </c>
      <c r="I20">
        <v>0</v>
      </c>
      <c r="J20">
        <v>0</v>
      </c>
    </row>
    <row r="21" spans="2:10">
      <c r="B21">
        <v>2023</v>
      </c>
      <c r="C21" t="s">
        <v>213</v>
      </c>
      <c r="D21" t="s">
        <v>292</v>
      </c>
      <c r="E21" t="s">
        <v>276</v>
      </c>
      <c r="F21" t="s">
        <v>277</v>
      </c>
      <c r="G21" t="s">
        <v>277</v>
      </c>
      <c r="H21" t="s">
        <v>277</v>
      </c>
      <c r="I21">
        <v>1500</v>
      </c>
      <c r="J21">
        <v>1180</v>
      </c>
    </row>
    <row r="22" spans="2:10">
      <c r="B22">
        <v>2023</v>
      </c>
      <c r="C22" t="s">
        <v>194</v>
      </c>
      <c r="D22" t="s">
        <v>293</v>
      </c>
      <c r="E22" t="s">
        <v>276</v>
      </c>
      <c r="F22" t="s">
        <v>277</v>
      </c>
      <c r="G22" t="s">
        <v>276</v>
      </c>
      <c r="H22" t="s">
        <v>277</v>
      </c>
      <c r="I22">
        <v>3600</v>
      </c>
      <c r="J22">
        <v>1860</v>
      </c>
    </row>
    <row r="23" spans="2:10">
      <c r="B23">
        <v>2023</v>
      </c>
      <c r="C23" t="s">
        <v>231</v>
      </c>
      <c r="D23" t="s">
        <v>294</v>
      </c>
      <c r="E23" t="s">
        <v>276</v>
      </c>
      <c r="F23" t="s">
        <v>277</v>
      </c>
      <c r="G23" t="s">
        <v>277</v>
      </c>
      <c r="H23" t="s">
        <v>277</v>
      </c>
      <c r="I23">
        <v>200</v>
      </c>
      <c r="J23">
        <v>120</v>
      </c>
    </row>
    <row r="24" spans="2:10">
      <c r="B24">
        <v>2023</v>
      </c>
      <c r="C24" t="s">
        <v>194</v>
      </c>
      <c r="D24" t="s">
        <v>295</v>
      </c>
      <c r="E24" t="s">
        <v>277</v>
      </c>
      <c r="F24" t="s">
        <v>277</v>
      </c>
      <c r="G24" t="s">
        <v>277</v>
      </c>
      <c r="H24" t="s">
        <v>277</v>
      </c>
      <c r="I24">
        <v>3500</v>
      </c>
      <c r="J24">
        <v>2380</v>
      </c>
    </row>
    <row r="25" spans="2:10">
      <c r="B25">
        <v>2023</v>
      </c>
      <c r="C25" t="s">
        <v>198</v>
      </c>
      <c r="D25" t="s">
        <v>296</v>
      </c>
      <c r="E25" t="s">
        <v>276</v>
      </c>
      <c r="F25" t="s">
        <v>277</v>
      </c>
      <c r="G25" t="s">
        <v>277</v>
      </c>
      <c r="H25" t="s">
        <v>277</v>
      </c>
      <c r="I25">
        <v>1600</v>
      </c>
      <c r="J25">
        <v>740</v>
      </c>
    </row>
    <row r="26" spans="2:10">
      <c r="B26">
        <v>2023</v>
      </c>
      <c r="C26" t="s">
        <v>203</v>
      </c>
      <c r="D26" t="s">
        <v>297</v>
      </c>
      <c r="E26" t="s">
        <v>276</v>
      </c>
      <c r="F26" t="s">
        <v>276</v>
      </c>
      <c r="G26" t="s">
        <v>276</v>
      </c>
      <c r="H26" t="s">
        <v>277</v>
      </c>
      <c r="I26">
        <v>230</v>
      </c>
      <c r="J26">
        <v>100</v>
      </c>
    </row>
    <row r="27" spans="2:10">
      <c r="B27">
        <v>2023</v>
      </c>
      <c r="C27" t="s">
        <v>195</v>
      </c>
      <c r="D27" t="s">
        <v>298</v>
      </c>
      <c r="E27" t="s">
        <v>277</v>
      </c>
      <c r="F27" t="s">
        <v>276</v>
      </c>
      <c r="G27" t="s">
        <v>277</v>
      </c>
      <c r="H27" t="s">
        <v>277</v>
      </c>
      <c r="I27">
        <v>70</v>
      </c>
      <c r="J27">
        <v>60</v>
      </c>
    </row>
    <row r="28" spans="2:10">
      <c r="B28">
        <v>2023</v>
      </c>
      <c r="C28" t="s">
        <v>195</v>
      </c>
      <c r="D28" t="s">
        <v>299</v>
      </c>
      <c r="E28" t="s">
        <v>276</v>
      </c>
      <c r="F28" t="s">
        <v>276</v>
      </c>
      <c r="G28" t="s">
        <v>276</v>
      </c>
      <c r="H28" t="s">
        <v>276</v>
      </c>
      <c r="I28">
        <v>750</v>
      </c>
      <c r="J28">
        <v>420</v>
      </c>
    </row>
    <row r="29" spans="2:10">
      <c r="B29">
        <v>2023</v>
      </c>
      <c r="C29" t="s">
        <v>215</v>
      </c>
      <c r="D29" t="s">
        <v>269</v>
      </c>
      <c r="E29" t="s">
        <v>277</v>
      </c>
      <c r="F29" t="s">
        <v>276</v>
      </c>
      <c r="G29" t="s">
        <v>277</v>
      </c>
      <c r="H29" t="s">
        <v>276</v>
      </c>
      <c r="I29">
        <v>152</v>
      </c>
    </row>
    <row r="30" spans="2:10">
      <c r="B30">
        <v>2023</v>
      </c>
      <c r="C30" t="s">
        <v>199</v>
      </c>
      <c r="D30" t="s">
        <v>300</v>
      </c>
      <c r="E30" t="s">
        <v>277</v>
      </c>
      <c r="F30" t="s">
        <v>276</v>
      </c>
      <c r="G30" t="s">
        <v>277</v>
      </c>
      <c r="H30" t="s">
        <v>277</v>
      </c>
      <c r="I30">
        <v>200</v>
      </c>
      <c r="J30">
        <v>40</v>
      </c>
    </row>
    <row r="31" spans="2:10">
      <c r="B31">
        <v>2023</v>
      </c>
      <c r="C31" t="s">
        <v>193</v>
      </c>
      <c r="D31" t="s">
        <v>12</v>
      </c>
      <c r="E31" t="s">
        <v>276</v>
      </c>
      <c r="F31" t="s">
        <v>277</v>
      </c>
      <c r="G31" t="s">
        <v>277</v>
      </c>
      <c r="H31" t="s">
        <v>277</v>
      </c>
      <c r="I31">
        <v>1300</v>
      </c>
      <c r="J31">
        <v>400</v>
      </c>
    </row>
    <row r="32" spans="2:10">
      <c r="B32">
        <v>2023</v>
      </c>
      <c r="C32" t="s">
        <v>190</v>
      </c>
      <c r="D32" t="s">
        <v>301</v>
      </c>
      <c r="E32" t="s">
        <v>277</v>
      </c>
      <c r="F32" t="s">
        <v>277</v>
      </c>
      <c r="G32" t="s">
        <v>277</v>
      </c>
      <c r="H32" t="s">
        <v>277</v>
      </c>
      <c r="I32">
        <v>0</v>
      </c>
      <c r="J32">
        <v>0</v>
      </c>
    </row>
    <row r="33" spans="2:10">
      <c r="B33">
        <v>2023</v>
      </c>
      <c r="C33" t="s">
        <v>194</v>
      </c>
      <c r="D33" t="s">
        <v>302</v>
      </c>
      <c r="E33" t="s">
        <v>276</v>
      </c>
      <c r="F33" t="s">
        <v>277</v>
      </c>
      <c r="G33" t="s">
        <v>277</v>
      </c>
      <c r="H33" t="s">
        <v>277</v>
      </c>
      <c r="I33">
        <v>1140</v>
      </c>
      <c r="J33">
        <v>600</v>
      </c>
    </row>
    <row r="34" spans="2:10">
      <c r="B34">
        <v>2023</v>
      </c>
      <c r="C34" t="s">
        <v>212</v>
      </c>
      <c r="D34" t="s">
        <v>303</v>
      </c>
      <c r="E34" t="s">
        <v>276</v>
      </c>
      <c r="F34" t="s">
        <v>277</v>
      </c>
      <c r="G34" t="s">
        <v>277</v>
      </c>
      <c r="H34" t="s">
        <v>277</v>
      </c>
      <c r="I34">
        <v>500</v>
      </c>
      <c r="J34">
        <v>200</v>
      </c>
    </row>
    <row r="35" spans="2:10">
      <c r="B35">
        <v>2023</v>
      </c>
      <c r="C35" t="s">
        <v>188</v>
      </c>
      <c r="D35" t="s">
        <v>304</v>
      </c>
      <c r="E35" t="s">
        <v>276</v>
      </c>
      <c r="F35" t="s">
        <v>277</v>
      </c>
      <c r="G35" t="s">
        <v>276</v>
      </c>
      <c r="H35" t="s">
        <v>277</v>
      </c>
      <c r="I35">
        <v>900</v>
      </c>
      <c r="J35">
        <v>800</v>
      </c>
    </row>
    <row r="36" spans="2:10">
      <c r="B36">
        <v>2023</v>
      </c>
      <c r="C36" t="s">
        <v>305</v>
      </c>
      <c r="D36" t="s">
        <v>306</v>
      </c>
      <c r="E36" t="s">
        <v>276</v>
      </c>
      <c r="F36" t="s">
        <v>277</v>
      </c>
      <c r="G36" t="s">
        <v>277</v>
      </c>
      <c r="H36" t="s">
        <v>276</v>
      </c>
      <c r="I36">
        <v>1600</v>
      </c>
      <c r="J36">
        <v>880</v>
      </c>
    </row>
    <row r="37" spans="2:10">
      <c r="B37">
        <v>2023</v>
      </c>
      <c r="C37" t="s">
        <v>209</v>
      </c>
      <c r="D37" t="s">
        <v>307</v>
      </c>
      <c r="E37" t="s">
        <v>277</v>
      </c>
      <c r="F37" t="s">
        <v>276</v>
      </c>
      <c r="G37" t="s">
        <v>277</v>
      </c>
      <c r="H37" t="s">
        <v>277</v>
      </c>
      <c r="I37">
        <v>120</v>
      </c>
      <c r="J37">
        <v>20</v>
      </c>
    </row>
    <row r="38" spans="2:10">
      <c r="B38">
        <v>2023</v>
      </c>
      <c r="C38" t="s">
        <v>197</v>
      </c>
      <c r="D38" t="s">
        <v>308</v>
      </c>
      <c r="E38" t="s">
        <v>276</v>
      </c>
      <c r="F38" t="s">
        <v>277</v>
      </c>
      <c r="G38" t="s">
        <v>276</v>
      </c>
      <c r="H38" t="s">
        <v>277</v>
      </c>
      <c r="I38">
        <v>2800</v>
      </c>
      <c r="J38">
        <v>1640</v>
      </c>
    </row>
    <row r="39" spans="2:10">
      <c r="B39">
        <v>2023</v>
      </c>
      <c r="C39" t="s">
        <v>191</v>
      </c>
      <c r="D39" t="s">
        <v>309</v>
      </c>
      <c r="E39" t="s">
        <v>276</v>
      </c>
      <c r="F39" t="s">
        <v>277</v>
      </c>
      <c r="G39" t="s">
        <v>277</v>
      </c>
      <c r="H39" t="s">
        <v>277</v>
      </c>
      <c r="I39">
        <v>2000</v>
      </c>
      <c r="J39">
        <v>1100</v>
      </c>
    </row>
    <row r="40" spans="2:10">
      <c r="B40">
        <v>2023</v>
      </c>
      <c r="C40" t="s">
        <v>207</v>
      </c>
      <c r="D40" t="s">
        <v>310</v>
      </c>
      <c r="E40" t="s">
        <v>276</v>
      </c>
      <c r="F40" t="s">
        <v>277</v>
      </c>
      <c r="G40" t="s">
        <v>277</v>
      </c>
      <c r="H40" t="s">
        <v>277</v>
      </c>
      <c r="I40">
        <v>1300</v>
      </c>
      <c r="J40">
        <v>500</v>
      </c>
    </row>
    <row r="41" spans="2:10">
      <c r="B41">
        <v>2023</v>
      </c>
      <c r="C41" t="s">
        <v>189</v>
      </c>
      <c r="D41" t="s">
        <v>311</v>
      </c>
      <c r="E41" t="s">
        <v>276</v>
      </c>
      <c r="F41" t="s">
        <v>277</v>
      </c>
      <c r="G41" t="s">
        <v>277</v>
      </c>
      <c r="H41" t="s">
        <v>277</v>
      </c>
      <c r="I41">
        <v>210</v>
      </c>
      <c r="J41">
        <v>300</v>
      </c>
    </row>
    <row r="42" spans="2:10">
      <c r="B42">
        <v>2023</v>
      </c>
      <c r="C42" t="s">
        <v>189</v>
      </c>
      <c r="D42" t="s">
        <v>312</v>
      </c>
      <c r="E42" t="s">
        <v>276</v>
      </c>
      <c r="F42" t="s">
        <v>277</v>
      </c>
      <c r="G42" t="s">
        <v>277</v>
      </c>
      <c r="H42" t="s">
        <v>277</v>
      </c>
      <c r="I42">
        <v>40</v>
      </c>
      <c r="J42">
        <v>200</v>
      </c>
    </row>
    <row r="43" spans="2:10">
      <c r="B43">
        <v>2023</v>
      </c>
      <c r="C43" t="s">
        <v>200</v>
      </c>
      <c r="D43" t="s">
        <v>313</v>
      </c>
      <c r="E43" t="s">
        <v>276</v>
      </c>
      <c r="F43" t="s">
        <v>277</v>
      </c>
      <c r="G43" t="s">
        <v>276</v>
      </c>
      <c r="H43" t="s">
        <v>277</v>
      </c>
      <c r="I43">
        <v>3100</v>
      </c>
      <c r="J43">
        <v>1560</v>
      </c>
    </row>
    <row r="44" spans="2:10">
      <c r="B44">
        <v>2023</v>
      </c>
      <c r="C44" t="s">
        <v>205</v>
      </c>
      <c r="D44" t="s">
        <v>314</v>
      </c>
      <c r="E44" t="s">
        <v>276</v>
      </c>
      <c r="F44" t="s">
        <v>277</v>
      </c>
      <c r="G44" t="s">
        <v>277</v>
      </c>
      <c r="H44" t="s">
        <v>277</v>
      </c>
      <c r="I44">
        <v>275</v>
      </c>
      <c r="J44">
        <v>340</v>
      </c>
    </row>
    <row r="45" spans="2:10">
      <c r="B45">
        <v>2023</v>
      </c>
      <c r="C45" t="s">
        <v>191</v>
      </c>
      <c r="D45" t="s">
        <v>315</v>
      </c>
      <c r="E45" t="s">
        <v>276</v>
      </c>
      <c r="F45" t="s">
        <v>277</v>
      </c>
      <c r="G45" t="s">
        <v>277</v>
      </c>
      <c r="H45" t="s">
        <v>277</v>
      </c>
      <c r="I45">
        <v>895</v>
      </c>
      <c r="J45">
        <v>1000</v>
      </c>
    </row>
    <row r="46" spans="2:10">
      <c r="B46">
        <v>2023</v>
      </c>
      <c r="C46" t="s">
        <v>212</v>
      </c>
      <c r="D46" t="s">
        <v>316</v>
      </c>
      <c r="E46" t="s">
        <v>276</v>
      </c>
      <c r="F46" t="s">
        <v>277</v>
      </c>
      <c r="G46" t="s">
        <v>277</v>
      </c>
      <c r="H46" t="s">
        <v>277</v>
      </c>
      <c r="I46">
        <v>475</v>
      </c>
      <c r="J46">
        <v>220</v>
      </c>
    </row>
    <row r="47" spans="2:10">
      <c r="B47">
        <v>2023</v>
      </c>
      <c r="C47" t="s">
        <v>200</v>
      </c>
      <c r="D47" t="s">
        <v>317</v>
      </c>
      <c r="E47" t="s">
        <v>276</v>
      </c>
      <c r="F47" t="s">
        <v>277</v>
      </c>
      <c r="G47" t="s">
        <v>276</v>
      </c>
      <c r="H47" t="s">
        <v>277</v>
      </c>
      <c r="I47">
        <v>1400</v>
      </c>
      <c r="J47">
        <v>1100</v>
      </c>
    </row>
    <row r="48" spans="2:10">
      <c r="B48">
        <v>2023</v>
      </c>
      <c r="C48" t="s">
        <v>193</v>
      </c>
      <c r="D48" t="s">
        <v>318</v>
      </c>
      <c r="E48" t="s">
        <v>276</v>
      </c>
      <c r="F48" t="s">
        <v>277</v>
      </c>
      <c r="G48" t="s">
        <v>277</v>
      </c>
      <c r="H48" t="s">
        <v>277</v>
      </c>
      <c r="I48">
        <v>2000</v>
      </c>
      <c r="J48">
        <v>1120</v>
      </c>
    </row>
    <row r="49" spans="2:10">
      <c r="B49">
        <v>2023</v>
      </c>
      <c r="C49" t="s">
        <v>198</v>
      </c>
      <c r="D49" t="s">
        <v>319</v>
      </c>
      <c r="E49" t="s">
        <v>276</v>
      </c>
      <c r="F49" t="s">
        <v>277</v>
      </c>
      <c r="G49" t="s">
        <v>277</v>
      </c>
      <c r="H49" t="s">
        <v>277</v>
      </c>
      <c r="I49">
        <v>1000</v>
      </c>
      <c r="J49">
        <v>300</v>
      </c>
    </row>
    <row r="50" spans="2:10">
      <c r="B50">
        <v>2023</v>
      </c>
      <c r="C50" t="s">
        <v>209</v>
      </c>
      <c r="D50" t="s">
        <v>320</v>
      </c>
      <c r="E50" t="s">
        <v>276</v>
      </c>
      <c r="F50" t="s">
        <v>277</v>
      </c>
      <c r="G50" t="s">
        <v>277</v>
      </c>
      <c r="H50" t="s">
        <v>277</v>
      </c>
      <c r="I50">
        <v>500</v>
      </c>
      <c r="J50">
        <v>140</v>
      </c>
    </row>
    <row r="51" spans="2:10">
      <c r="B51">
        <v>2023</v>
      </c>
      <c r="C51" t="s">
        <v>194</v>
      </c>
      <c r="D51" t="s">
        <v>321</v>
      </c>
      <c r="E51" t="s">
        <v>276</v>
      </c>
      <c r="F51" t="s">
        <v>277</v>
      </c>
      <c r="G51" t="s">
        <v>276</v>
      </c>
      <c r="H51" t="s">
        <v>277</v>
      </c>
      <c r="I51">
        <v>1450</v>
      </c>
      <c r="J51">
        <v>960</v>
      </c>
    </row>
    <row r="52" spans="2:10">
      <c r="B52">
        <v>2023</v>
      </c>
      <c r="C52" t="s">
        <v>188</v>
      </c>
      <c r="D52" t="s">
        <v>322</v>
      </c>
      <c r="E52" t="s">
        <v>276</v>
      </c>
      <c r="F52" t="s">
        <v>277</v>
      </c>
      <c r="G52" t="s">
        <v>276</v>
      </c>
      <c r="H52" t="s">
        <v>277</v>
      </c>
      <c r="I52">
        <v>1100</v>
      </c>
      <c r="J52">
        <v>1000</v>
      </c>
    </row>
    <row r="53" spans="2:10">
      <c r="B53">
        <v>2023</v>
      </c>
      <c r="C53" t="s">
        <v>189</v>
      </c>
      <c r="D53" t="s">
        <v>323</v>
      </c>
      <c r="E53" t="s">
        <v>276</v>
      </c>
      <c r="F53" t="s">
        <v>277</v>
      </c>
      <c r="G53" t="s">
        <v>277</v>
      </c>
      <c r="H53" t="s">
        <v>277</v>
      </c>
      <c r="I53">
        <v>5200</v>
      </c>
      <c r="J53">
        <v>2740</v>
      </c>
    </row>
    <row r="54" spans="2:10">
      <c r="B54">
        <v>2023</v>
      </c>
      <c r="C54" t="s">
        <v>210</v>
      </c>
      <c r="D54" t="s">
        <v>324</v>
      </c>
      <c r="E54" t="s">
        <v>276</v>
      </c>
      <c r="F54" t="s">
        <v>277</v>
      </c>
      <c r="G54" t="s">
        <v>325</v>
      </c>
      <c r="H54" t="s">
        <v>276</v>
      </c>
      <c r="I54">
        <v>3600</v>
      </c>
      <c r="J54">
        <v>11000</v>
      </c>
    </row>
    <row r="55" spans="2:10">
      <c r="B55">
        <v>2023</v>
      </c>
      <c r="C55" t="s">
        <v>215</v>
      </c>
      <c r="D55" t="s">
        <v>326</v>
      </c>
      <c r="E55" t="s">
        <v>277</v>
      </c>
      <c r="F55" t="s">
        <v>276</v>
      </c>
      <c r="G55" t="s">
        <v>277</v>
      </c>
      <c r="H55" t="s">
        <v>276</v>
      </c>
      <c r="I55">
        <v>140</v>
      </c>
    </row>
    <row r="56" spans="2:10">
      <c r="B56">
        <v>2023</v>
      </c>
      <c r="C56" t="s">
        <v>203</v>
      </c>
      <c r="D56" t="s">
        <v>327</v>
      </c>
      <c r="E56" t="s">
        <v>276</v>
      </c>
      <c r="F56" t="s">
        <v>277</v>
      </c>
      <c r="G56" t="s">
        <v>276</v>
      </c>
      <c r="H56" t="s">
        <v>277</v>
      </c>
      <c r="I56">
        <v>1000</v>
      </c>
      <c r="J56">
        <v>1300</v>
      </c>
    </row>
    <row r="57" spans="2:10">
      <c r="B57">
        <v>2023</v>
      </c>
      <c r="C57" t="s">
        <v>194</v>
      </c>
      <c r="D57" t="s">
        <v>328</v>
      </c>
      <c r="E57" t="s">
        <v>276</v>
      </c>
      <c r="F57" t="s">
        <v>277</v>
      </c>
      <c r="G57" t="s">
        <v>277</v>
      </c>
      <c r="H57" t="s">
        <v>277</v>
      </c>
      <c r="I57">
        <v>1668</v>
      </c>
      <c r="J57">
        <v>860</v>
      </c>
    </row>
    <row r="58" spans="2:10">
      <c r="B58">
        <v>2023</v>
      </c>
      <c r="C58" t="s">
        <v>196</v>
      </c>
      <c r="D58" t="s">
        <v>329</v>
      </c>
      <c r="E58" t="s">
        <v>277</v>
      </c>
      <c r="F58" t="s">
        <v>276</v>
      </c>
      <c r="G58" t="s">
        <v>277</v>
      </c>
      <c r="H58" t="s">
        <v>277</v>
      </c>
      <c r="I58">
        <v>120</v>
      </c>
      <c r="J58">
        <v>40</v>
      </c>
    </row>
    <row r="59" spans="2:10">
      <c r="B59">
        <v>2023</v>
      </c>
      <c r="C59" t="s">
        <v>231</v>
      </c>
      <c r="D59" t="s">
        <v>330</v>
      </c>
      <c r="E59" t="s">
        <v>276</v>
      </c>
      <c r="F59" t="s">
        <v>277</v>
      </c>
      <c r="G59" t="s">
        <v>277</v>
      </c>
      <c r="H59" t="s">
        <v>277</v>
      </c>
      <c r="I59">
        <v>400</v>
      </c>
      <c r="J59">
        <v>240</v>
      </c>
    </row>
    <row r="60" spans="2:10">
      <c r="B60">
        <v>2023</v>
      </c>
      <c r="C60" t="s">
        <v>202</v>
      </c>
      <c r="D60" t="s">
        <v>331</v>
      </c>
      <c r="E60" t="s">
        <v>276</v>
      </c>
      <c r="F60" t="s">
        <v>277</v>
      </c>
      <c r="G60" t="s">
        <v>277</v>
      </c>
      <c r="H60" t="s">
        <v>277</v>
      </c>
      <c r="I60">
        <v>115</v>
      </c>
      <c r="J60">
        <v>100</v>
      </c>
    </row>
    <row r="61" spans="2:10">
      <c r="B61">
        <v>2023</v>
      </c>
      <c r="C61" t="s">
        <v>206</v>
      </c>
      <c r="D61" t="s">
        <v>332</v>
      </c>
      <c r="E61" t="s">
        <v>276</v>
      </c>
      <c r="F61" t="s">
        <v>277</v>
      </c>
      <c r="G61" t="s">
        <v>277</v>
      </c>
      <c r="H61" t="s">
        <v>276</v>
      </c>
      <c r="I61">
        <v>7000</v>
      </c>
      <c r="J61">
        <v>2380</v>
      </c>
    </row>
    <row r="62" spans="2:10">
      <c r="B62">
        <v>2023</v>
      </c>
      <c r="C62" t="s">
        <v>194</v>
      </c>
      <c r="D62" t="s">
        <v>295</v>
      </c>
      <c r="E62" t="s">
        <v>276</v>
      </c>
      <c r="F62" t="s">
        <v>277</v>
      </c>
      <c r="G62" t="s">
        <v>276</v>
      </c>
      <c r="H62" t="s">
        <v>277</v>
      </c>
      <c r="I62">
        <v>3500</v>
      </c>
      <c r="J62">
        <v>2380</v>
      </c>
    </row>
    <row r="63" spans="2:10">
      <c r="B63">
        <v>2023</v>
      </c>
      <c r="C63" t="s">
        <v>203</v>
      </c>
      <c r="D63" t="s">
        <v>333</v>
      </c>
      <c r="E63" t="s">
        <v>276</v>
      </c>
      <c r="F63" t="s">
        <v>277</v>
      </c>
      <c r="G63" t="s">
        <v>276</v>
      </c>
      <c r="H63" t="s">
        <v>277</v>
      </c>
      <c r="I63">
        <v>750</v>
      </c>
      <c r="J63">
        <v>700</v>
      </c>
    </row>
    <row r="64" spans="2:10">
      <c r="B64">
        <v>2023</v>
      </c>
      <c r="C64" t="s">
        <v>189</v>
      </c>
      <c r="D64" t="s">
        <v>334</v>
      </c>
      <c r="E64" t="s">
        <v>276</v>
      </c>
      <c r="F64" t="s">
        <v>277</v>
      </c>
      <c r="G64" t="s">
        <v>277</v>
      </c>
      <c r="H64" t="s">
        <v>277</v>
      </c>
      <c r="I64">
        <v>700</v>
      </c>
      <c r="J64">
        <v>720</v>
      </c>
    </row>
    <row r="65" spans="2:10">
      <c r="B65">
        <v>2023</v>
      </c>
      <c r="C65" t="s">
        <v>216</v>
      </c>
      <c r="D65" t="s">
        <v>335</v>
      </c>
      <c r="E65" t="s">
        <v>276</v>
      </c>
      <c r="F65" t="s">
        <v>276</v>
      </c>
      <c r="G65" t="s">
        <v>277</v>
      </c>
      <c r="H65" t="s">
        <v>277</v>
      </c>
      <c r="I65">
        <v>2000</v>
      </c>
      <c r="J65">
        <v>1600</v>
      </c>
    </row>
    <row r="66" spans="2:10">
      <c r="B66">
        <v>2023</v>
      </c>
      <c r="C66" t="s">
        <v>192</v>
      </c>
      <c r="D66" t="s">
        <v>336</v>
      </c>
      <c r="E66" t="s">
        <v>277</v>
      </c>
      <c r="F66" t="s">
        <v>277</v>
      </c>
      <c r="G66" t="s">
        <v>277</v>
      </c>
      <c r="H66" t="s">
        <v>277</v>
      </c>
      <c r="J66">
        <v>100</v>
      </c>
    </row>
    <row r="67" spans="2:10">
      <c r="B67">
        <v>2023</v>
      </c>
      <c r="C67" t="s">
        <v>198</v>
      </c>
      <c r="D67" t="s">
        <v>337</v>
      </c>
      <c r="E67" t="s">
        <v>276</v>
      </c>
      <c r="F67" t="s">
        <v>277</v>
      </c>
      <c r="G67" t="s">
        <v>276</v>
      </c>
      <c r="H67" t="s">
        <v>277</v>
      </c>
      <c r="I67">
        <v>1300</v>
      </c>
      <c r="J67">
        <v>780</v>
      </c>
    </row>
    <row r="68" spans="2:10">
      <c r="B68">
        <v>2023</v>
      </c>
      <c r="C68" t="s">
        <v>204</v>
      </c>
      <c r="D68" t="s">
        <v>338</v>
      </c>
      <c r="E68" t="s">
        <v>276</v>
      </c>
      <c r="F68" t="s">
        <v>277</v>
      </c>
      <c r="G68" t="s">
        <v>277</v>
      </c>
      <c r="H68" t="s">
        <v>277</v>
      </c>
      <c r="I68">
        <v>3700</v>
      </c>
      <c r="J68">
        <v>1600</v>
      </c>
    </row>
    <row r="69" spans="2:10">
      <c r="B69">
        <v>2023</v>
      </c>
      <c r="C69" t="s">
        <v>190</v>
      </c>
      <c r="D69" t="s">
        <v>339</v>
      </c>
      <c r="E69" t="s">
        <v>276</v>
      </c>
      <c r="F69" t="s">
        <v>277</v>
      </c>
      <c r="G69" t="s">
        <v>277</v>
      </c>
      <c r="H69" t="s">
        <v>277</v>
      </c>
      <c r="I69">
        <v>1000</v>
      </c>
      <c r="J69">
        <v>1100</v>
      </c>
    </row>
    <row r="70" spans="2:10">
      <c r="B70">
        <v>2023</v>
      </c>
      <c r="C70" t="s">
        <v>222</v>
      </c>
      <c r="D70" t="s">
        <v>111</v>
      </c>
      <c r="E70" t="s">
        <v>276</v>
      </c>
      <c r="F70" t="s">
        <v>277</v>
      </c>
      <c r="G70" t="s">
        <v>277</v>
      </c>
      <c r="H70" t="s">
        <v>277</v>
      </c>
      <c r="I70">
        <v>1500</v>
      </c>
      <c r="J70">
        <v>770</v>
      </c>
    </row>
    <row r="71" spans="2:10">
      <c r="B71">
        <v>2023</v>
      </c>
      <c r="C71" t="s">
        <v>191</v>
      </c>
      <c r="D71" t="s">
        <v>340</v>
      </c>
      <c r="E71" t="s">
        <v>276</v>
      </c>
      <c r="F71" t="s">
        <v>277</v>
      </c>
      <c r="G71" t="s">
        <v>277</v>
      </c>
      <c r="H71" t="s">
        <v>277</v>
      </c>
      <c r="I71">
        <v>900</v>
      </c>
      <c r="J71">
        <v>2000</v>
      </c>
    </row>
    <row r="72" spans="2:10">
      <c r="B72">
        <v>2023</v>
      </c>
      <c r="C72" t="s">
        <v>204</v>
      </c>
      <c r="D72" t="s">
        <v>341</v>
      </c>
      <c r="E72" t="s">
        <v>276</v>
      </c>
      <c r="F72" t="s">
        <v>277</v>
      </c>
      <c r="G72" t="s">
        <v>277</v>
      </c>
      <c r="H72" t="s">
        <v>277</v>
      </c>
      <c r="I72">
        <v>2950</v>
      </c>
      <c r="J72">
        <v>1300</v>
      </c>
    </row>
    <row r="73" spans="2:10">
      <c r="B73">
        <v>2023</v>
      </c>
      <c r="C73" t="s">
        <v>219</v>
      </c>
      <c r="D73" t="s">
        <v>342</v>
      </c>
      <c r="E73" t="s">
        <v>276</v>
      </c>
      <c r="F73" t="s">
        <v>277</v>
      </c>
      <c r="G73" t="s">
        <v>277</v>
      </c>
      <c r="H73" t="s">
        <v>277</v>
      </c>
      <c r="I73">
        <v>1450</v>
      </c>
      <c r="J73">
        <v>420</v>
      </c>
    </row>
    <row r="74" spans="2:10">
      <c r="B74">
        <v>2023</v>
      </c>
      <c r="C74" t="s">
        <v>231</v>
      </c>
      <c r="D74" t="s">
        <v>343</v>
      </c>
      <c r="E74" t="s">
        <v>276</v>
      </c>
      <c r="F74" t="s">
        <v>277</v>
      </c>
      <c r="G74" t="s">
        <v>277</v>
      </c>
      <c r="H74" t="s">
        <v>277</v>
      </c>
      <c r="I74">
        <v>640</v>
      </c>
      <c r="J74">
        <v>400</v>
      </c>
    </row>
    <row r="75" spans="2:10">
      <c r="B75">
        <v>2023</v>
      </c>
      <c r="C75" t="s">
        <v>213</v>
      </c>
      <c r="D75" t="s">
        <v>344</v>
      </c>
      <c r="E75" t="s">
        <v>276</v>
      </c>
      <c r="F75" t="s">
        <v>277</v>
      </c>
      <c r="G75" t="s">
        <v>277</v>
      </c>
      <c r="H75" t="s">
        <v>277</v>
      </c>
      <c r="J75">
        <v>280</v>
      </c>
    </row>
    <row r="76" spans="2:10">
      <c r="B76">
        <v>2023</v>
      </c>
      <c r="C76" t="s">
        <v>202</v>
      </c>
      <c r="D76" t="s">
        <v>345</v>
      </c>
      <c r="E76" t="s">
        <v>276</v>
      </c>
      <c r="F76" t="s">
        <v>277</v>
      </c>
      <c r="G76" t="s">
        <v>276</v>
      </c>
      <c r="H76" t="s">
        <v>277</v>
      </c>
      <c r="I76">
        <v>1000</v>
      </c>
      <c r="J76">
        <v>680</v>
      </c>
    </row>
    <row r="77" spans="2:10">
      <c r="B77">
        <v>2023</v>
      </c>
      <c r="C77" t="s">
        <v>194</v>
      </c>
      <c r="D77" t="s">
        <v>346</v>
      </c>
      <c r="E77" t="s">
        <v>276</v>
      </c>
      <c r="F77" t="s">
        <v>277</v>
      </c>
      <c r="G77" t="s">
        <v>277</v>
      </c>
      <c r="H77" t="s">
        <v>277</v>
      </c>
      <c r="I77">
        <v>300</v>
      </c>
      <c r="J77">
        <v>140</v>
      </c>
    </row>
    <row r="78" spans="2:10">
      <c r="B78">
        <v>2023</v>
      </c>
      <c r="C78" t="s">
        <v>347</v>
      </c>
      <c r="D78" t="s">
        <v>348</v>
      </c>
      <c r="E78" t="s">
        <v>276</v>
      </c>
      <c r="F78" t="s">
        <v>277</v>
      </c>
      <c r="G78" t="s">
        <v>277</v>
      </c>
      <c r="H78" t="s">
        <v>277</v>
      </c>
      <c r="I78">
        <v>300</v>
      </c>
      <c r="J78">
        <v>160</v>
      </c>
    </row>
    <row r="79" spans="2:10">
      <c r="B79">
        <v>2023</v>
      </c>
      <c r="C79" t="s">
        <v>201</v>
      </c>
      <c r="D79" t="s">
        <v>349</v>
      </c>
      <c r="E79" t="s">
        <v>276</v>
      </c>
      <c r="F79" t="s">
        <v>277</v>
      </c>
      <c r="G79" t="s">
        <v>276</v>
      </c>
      <c r="H79" t="s">
        <v>277</v>
      </c>
      <c r="I79">
        <v>215</v>
      </c>
      <c r="J79">
        <v>220</v>
      </c>
    </row>
    <row r="80" spans="2:10">
      <c r="B80">
        <v>2023</v>
      </c>
      <c r="C80" t="s">
        <v>198</v>
      </c>
      <c r="D80" t="s">
        <v>350</v>
      </c>
      <c r="E80" t="s">
        <v>276</v>
      </c>
      <c r="F80" t="s">
        <v>277</v>
      </c>
      <c r="G80" t="s">
        <v>277</v>
      </c>
      <c r="H80" t="s">
        <v>277</v>
      </c>
      <c r="I80">
        <v>300</v>
      </c>
      <c r="J80">
        <v>140</v>
      </c>
    </row>
    <row r="81" spans="2:10">
      <c r="B81">
        <v>2023</v>
      </c>
      <c r="C81" t="s">
        <v>203</v>
      </c>
      <c r="D81" t="s">
        <v>111</v>
      </c>
      <c r="E81" t="s">
        <v>276</v>
      </c>
      <c r="F81" t="s">
        <v>277</v>
      </c>
      <c r="G81" t="s">
        <v>277</v>
      </c>
      <c r="H81" t="s">
        <v>277</v>
      </c>
      <c r="I81">
        <v>398</v>
      </c>
      <c r="J81">
        <v>180</v>
      </c>
    </row>
    <row r="82" spans="2:10">
      <c r="B82">
        <v>2023</v>
      </c>
      <c r="C82" t="s">
        <v>205</v>
      </c>
      <c r="D82" t="s">
        <v>351</v>
      </c>
      <c r="E82" t="s">
        <v>277</v>
      </c>
      <c r="F82" t="s">
        <v>276</v>
      </c>
      <c r="G82" t="s">
        <v>277</v>
      </c>
      <c r="H82" t="s">
        <v>277</v>
      </c>
      <c r="I82">
        <v>120</v>
      </c>
      <c r="J82">
        <v>80</v>
      </c>
    </row>
    <row r="83" spans="2:10">
      <c r="B83">
        <v>2023</v>
      </c>
      <c r="C83" t="s">
        <v>196</v>
      </c>
      <c r="D83" t="s">
        <v>352</v>
      </c>
      <c r="E83" t="s">
        <v>277</v>
      </c>
      <c r="F83" t="s">
        <v>276</v>
      </c>
      <c r="G83" t="s">
        <v>277</v>
      </c>
      <c r="H83" t="s">
        <v>277</v>
      </c>
      <c r="I83">
        <v>450</v>
      </c>
      <c r="J83">
        <v>40</v>
      </c>
    </row>
    <row r="84" spans="2:10">
      <c r="B84">
        <v>2023</v>
      </c>
      <c r="C84" t="s">
        <v>347</v>
      </c>
      <c r="D84" t="s">
        <v>353</v>
      </c>
      <c r="E84" t="s">
        <v>276</v>
      </c>
      <c r="F84" t="s">
        <v>277</v>
      </c>
      <c r="G84" t="s">
        <v>277</v>
      </c>
      <c r="H84" t="s">
        <v>277</v>
      </c>
      <c r="I84">
        <v>320</v>
      </c>
      <c r="J84">
        <v>220</v>
      </c>
    </row>
    <row r="85" spans="2:10">
      <c r="B85">
        <v>2023</v>
      </c>
      <c r="C85" t="s">
        <v>194</v>
      </c>
      <c r="D85" t="s">
        <v>354</v>
      </c>
      <c r="E85" t="s">
        <v>276</v>
      </c>
      <c r="F85" t="s">
        <v>277</v>
      </c>
      <c r="G85" t="s">
        <v>277</v>
      </c>
      <c r="H85" t="s">
        <v>277</v>
      </c>
      <c r="I85">
        <v>1980</v>
      </c>
      <c r="J85">
        <v>1200</v>
      </c>
    </row>
    <row r="86" spans="2:10">
      <c r="B86">
        <v>2023</v>
      </c>
      <c r="C86" t="s">
        <v>231</v>
      </c>
      <c r="D86" t="s">
        <v>355</v>
      </c>
      <c r="E86" t="s">
        <v>276</v>
      </c>
      <c r="F86" t="s">
        <v>277</v>
      </c>
      <c r="G86" t="s">
        <v>277</v>
      </c>
      <c r="H86" t="s">
        <v>277</v>
      </c>
      <c r="I86">
        <v>490</v>
      </c>
      <c r="J86">
        <v>300</v>
      </c>
    </row>
    <row r="87" spans="2:10">
      <c r="B87">
        <v>2023</v>
      </c>
      <c r="C87" t="s">
        <v>198</v>
      </c>
      <c r="D87" t="s">
        <v>356</v>
      </c>
      <c r="E87" t="s">
        <v>276</v>
      </c>
      <c r="F87" t="s">
        <v>277</v>
      </c>
      <c r="G87" t="s">
        <v>277</v>
      </c>
      <c r="H87" t="s">
        <v>277</v>
      </c>
      <c r="I87">
        <v>1600</v>
      </c>
      <c r="J87">
        <v>500</v>
      </c>
    </row>
    <row r="88" spans="2:10">
      <c r="B88">
        <v>2023</v>
      </c>
      <c r="C88" t="s">
        <v>208</v>
      </c>
      <c r="D88" t="s">
        <v>357</v>
      </c>
      <c r="E88" t="s">
        <v>276</v>
      </c>
      <c r="F88" t="s">
        <v>277</v>
      </c>
      <c r="G88" t="s">
        <v>277</v>
      </c>
      <c r="H88" t="s">
        <v>277</v>
      </c>
      <c r="I88">
        <v>475</v>
      </c>
      <c r="J88">
        <v>180</v>
      </c>
    </row>
    <row r="89" spans="2:10">
      <c r="B89">
        <v>2023</v>
      </c>
      <c r="C89" t="s">
        <v>192</v>
      </c>
      <c r="D89" t="s">
        <v>358</v>
      </c>
      <c r="E89" t="s">
        <v>276</v>
      </c>
      <c r="F89" t="s">
        <v>277</v>
      </c>
      <c r="G89" t="s">
        <v>277</v>
      </c>
      <c r="H89" t="s">
        <v>277</v>
      </c>
      <c r="J89">
        <v>160</v>
      </c>
    </row>
    <row r="90" spans="2:10">
      <c r="B90">
        <v>2023</v>
      </c>
      <c r="C90" t="s">
        <v>219</v>
      </c>
      <c r="D90" t="s">
        <v>359</v>
      </c>
      <c r="E90" t="s">
        <v>276</v>
      </c>
      <c r="F90" t="s">
        <v>276</v>
      </c>
      <c r="G90" t="s">
        <v>277</v>
      </c>
      <c r="H90" t="s">
        <v>276</v>
      </c>
      <c r="I90">
        <v>2000</v>
      </c>
      <c r="J90">
        <v>1550</v>
      </c>
    </row>
    <row r="91" spans="2:10">
      <c r="B91">
        <v>2023</v>
      </c>
      <c r="C91" t="s">
        <v>210</v>
      </c>
      <c r="D91" t="s">
        <v>360</v>
      </c>
      <c r="E91" t="s">
        <v>276</v>
      </c>
      <c r="F91" t="s">
        <v>277</v>
      </c>
      <c r="G91" t="s">
        <v>276</v>
      </c>
      <c r="H91" t="s">
        <v>277</v>
      </c>
      <c r="I91">
        <v>1250</v>
      </c>
      <c r="J91">
        <v>780</v>
      </c>
    </row>
    <row r="92" spans="2:10">
      <c r="B92">
        <v>2023</v>
      </c>
      <c r="C92" t="s">
        <v>202</v>
      </c>
      <c r="D92" t="s">
        <v>361</v>
      </c>
      <c r="E92" t="s">
        <v>276</v>
      </c>
      <c r="F92" t="s">
        <v>277</v>
      </c>
      <c r="G92" t="s">
        <v>277</v>
      </c>
      <c r="H92" t="s">
        <v>277</v>
      </c>
      <c r="I92">
        <v>1000</v>
      </c>
      <c r="J92">
        <v>640</v>
      </c>
    </row>
    <row r="93" spans="2:10">
      <c r="B93">
        <v>2023</v>
      </c>
      <c r="C93" t="s">
        <v>204</v>
      </c>
      <c r="D93" t="s">
        <v>362</v>
      </c>
      <c r="E93" t="s">
        <v>276</v>
      </c>
      <c r="F93" t="s">
        <v>277</v>
      </c>
      <c r="G93" t="s">
        <v>277</v>
      </c>
      <c r="H93" t="s">
        <v>277</v>
      </c>
      <c r="I93">
        <v>6760</v>
      </c>
      <c r="J93">
        <v>2780</v>
      </c>
    </row>
    <row r="94" spans="2:10">
      <c r="B94">
        <v>2023</v>
      </c>
      <c r="C94" t="s">
        <v>194</v>
      </c>
      <c r="D94" t="s">
        <v>363</v>
      </c>
      <c r="E94" t="s">
        <v>276</v>
      </c>
      <c r="F94" t="s">
        <v>277</v>
      </c>
      <c r="G94" t="s">
        <v>277</v>
      </c>
      <c r="H94" t="s">
        <v>277</v>
      </c>
      <c r="I94">
        <v>600</v>
      </c>
      <c r="J94">
        <v>380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5F333-5545-4038-BD01-4D849A4B8901}">
  <sheetPr codeName="Sheet23">
    <tabColor rgb="FFFFFF00"/>
  </sheetPr>
  <dimension ref="A1"/>
  <sheetViews>
    <sheetView workbookViewId="0">
      <selection activeCell="F23" sqref="F23"/>
    </sheetView>
  </sheetViews>
  <sheetFormatPr defaultRowHeight="1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D6DBE-3C3B-43CB-BEE1-1CD737ACC7EA}">
  <sheetPr codeName="Sheet12">
    <tabColor rgb="FFFFFF00"/>
  </sheetPr>
  <dimension ref="A1"/>
  <sheetViews>
    <sheetView workbookViewId="0">
      <selection activeCell="F23" sqref="F23"/>
    </sheetView>
  </sheetViews>
  <sheetFormatPr defaultRowHeight="1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17AE0-AE1D-4114-BD69-33410FCAB05E}">
  <sheetPr codeName="Sheet13">
    <tabColor rgb="FFFFFF00"/>
  </sheetPr>
  <dimension ref="A1"/>
  <sheetViews>
    <sheetView workbookViewId="0">
      <selection activeCell="F23" sqref="F23"/>
    </sheetView>
  </sheetViews>
  <sheetFormatPr defaultRowHeight="1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C95E4-A808-4F54-B27F-D57CC4C8411C}">
  <sheetPr codeName="Sheet4">
    <tabColor rgb="FFFFFF00"/>
  </sheetPr>
  <dimension ref="A1:E2"/>
  <sheetViews>
    <sheetView workbookViewId="0">
      <selection activeCell="F23" sqref="F23"/>
    </sheetView>
  </sheetViews>
  <sheetFormatPr defaultRowHeight="15"/>
  <sheetData>
    <row r="1" spans="1:5" ht="19.5" thickBot="1">
      <c r="A1" s="1" t="s">
        <v>141</v>
      </c>
      <c r="B1" s="1"/>
      <c r="C1" s="1"/>
      <c r="D1" s="1"/>
      <c r="E1" s="1"/>
    </row>
    <row r="2" spans="1:5" ht="15.75" thickTop="1">
      <c r="A2" s="2" t="s">
        <v>142</v>
      </c>
      <c r="B2" s="2"/>
      <c r="C2" s="2"/>
      <c r="D2" s="2"/>
      <c r="E2" s="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2DA8-34CF-4048-ADAA-EA19A1770E45}">
  <sheetPr codeName="Sheet5">
    <tabColor rgb="FFFFFF00"/>
  </sheetPr>
  <dimension ref="A1:E4"/>
  <sheetViews>
    <sheetView workbookViewId="0">
      <selection activeCell="F23" sqref="F23"/>
    </sheetView>
  </sheetViews>
  <sheetFormatPr defaultRowHeight="15"/>
  <sheetData>
    <row r="1" spans="1:5" ht="19.5" thickBot="1">
      <c r="A1" s="1" t="s">
        <v>143</v>
      </c>
      <c r="B1" s="1"/>
      <c r="C1" s="1"/>
      <c r="D1" s="1"/>
      <c r="E1" s="1"/>
    </row>
    <row r="2" spans="1:5" ht="15.75" thickTop="1">
      <c r="A2" s="2" t="s">
        <v>144</v>
      </c>
      <c r="B2" s="2"/>
      <c r="C2" s="2"/>
      <c r="D2" s="2"/>
      <c r="E2" s="2"/>
    </row>
    <row r="4" spans="1:5">
      <c r="B4" t="s">
        <v>145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BA4E6-F6FE-44AE-BC5D-04A2246312D5}">
  <sheetPr codeName="Sheet6">
    <tabColor rgb="FFFFFF00"/>
  </sheetPr>
  <dimension ref="A1:E2"/>
  <sheetViews>
    <sheetView workbookViewId="0">
      <selection activeCell="F23" sqref="F23"/>
    </sheetView>
  </sheetViews>
  <sheetFormatPr defaultRowHeight="15"/>
  <sheetData>
    <row r="1" spans="1:5" ht="19.5" thickBot="1">
      <c r="A1" s="1" t="s">
        <v>146</v>
      </c>
      <c r="B1" s="1"/>
      <c r="C1" s="1"/>
      <c r="D1" s="1"/>
      <c r="E1" s="1"/>
    </row>
    <row r="2" spans="1:5" ht="15.75" thickTop="1">
      <c r="A2" s="2" t="s">
        <v>147</v>
      </c>
      <c r="B2" s="2"/>
      <c r="C2" s="2"/>
      <c r="D2" s="2"/>
      <c r="E2" s="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DE32B-9BB1-4D42-B650-C28F8D9C3B6E}">
  <sheetPr codeName="Sheet7">
    <tabColor rgb="FFFFFF00"/>
  </sheetPr>
  <dimension ref="A1"/>
  <sheetViews>
    <sheetView workbookViewId="0">
      <selection activeCell="F23" sqref="F23"/>
    </sheetView>
  </sheetViews>
  <sheetFormatPr defaultRowHeight="1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0358D-21E6-448A-AD88-C40D205A3084}">
  <sheetPr codeName="Sheet8">
    <tabColor rgb="FFFFFF00"/>
  </sheetPr>
  <dimension ref="A1:G29"/>
  <sheetViews>
    <sheetView workbookViewId="0">
      <selection activeCell="D10" sqref="D10"/>
    </sheetView>
  </sheetViews>
  <sheetFormatPr defaultRowHeight="15"/>
  <cols>
    <col min="2" max="2" width="18.7109375" customWidth="1"/>
    <col min="3" max="3" width="23.7109375" bestFit="1" customWidth="1"/>
    <col min="4" max="4" width="22.85546875" bestFit="1" customWidth="1"/>
    <col min="5" max="7" width="18.7109375" customWidth="1"/>
  </cols>
  <sheetData>
    <row r="1" spans="1:7" ht="19.5" thickBot="1">
      <c r="A1" s="1" t="s">
        <v>366</v>
      </c>
      <c r="B1" s="1"/>
      <c r="C1" s="1"/>
      <c r="D1" s="1"/>
      <c r="E1" s="1"/>
    </row>
    <row r="2" spans="1:7" ht="15.75" thickTop="1">
      <c r="A2" s="2" t="s">
        <v>367</v>
      </c>
      <c r="B2" s="2"/>
      <c r="C2" s="2"/>
      <c r="D2" s="2"/>
      <c r="E2" s="2"/>
    </row>
    <row r="5" spans="1:7">
      <c r="B5" t="s">
        <v>369</v>
      </c>
    </row>
    <row r="12" spans="1:7">
      <c r="B12" t="s">
        <v>368</v>
      </c>
    </row>
    <row r="14" spans="1:7">
      <c r="B14" t="s">
        <v>150</v>
      </c>
      <c r="C14" t="s">
        <v>153</v>
      </c>
      <c r="D14" t="s">
        <v>370</v>
      </c>
      <c r="E14" t="s">
        <v>371</v>
      </c>
      <c r="F14" t="s">
        <v>2</v>
      </c>
      <c r="G14" t="s">
        <v>16</v>
      </c>
    </row>
    <row r="15" spans="1:7">
      <c r="B15" t="s">
        <v>374</v>
      </c>
      <c r="C15" t="s">
        <v>4</v>
      </c>
      <c r="D15" s="24" t="s">
        <v>161</v>
      </c>
      <c r="E15" t="s">
        <v>372</v>
      </c>
      <c r="F15">
        <v>1</v>
      </c>
    </row>
    <row r="16" spans="1:7">
      <c r="B16" t="s">
        <v>374</v>
      </c>
      <c r="C16" t="s">
        <v>5</v>
      </c>
      <c r="D16" s="24" t="s">
        <v>164</v>
      </c>
      <c r="E16" t="s">
        <v>373</v>
      </c>
      <c r="F16">
        <f>F15+1</f>
        <v>2</v>
      </c>
    </row>
    <row r="17" spans="2:6">
      <c r="B17" t="s">
        <v>374</v>
      </c>
      <c r="C17" t="s">
        <v>186</v>
      </c>
      <c r="D17" s="24" t="s">
        <v>165</v>
      </c>
      <c r="E17" t="s">
        <v>373</v>
      </c>
      <c r="F17">
        <f t="shared" ref="F17:F29" si="0">F16+1</f>
        <v>3</v>
      </c>
    </row>
    <row r="18" spans="2:6">
      <c r="B18" t="s">
        <v>374</v>
      </c>
      <c r="C18" t="s">
        <v>22</v>
      </c>
      <c r="D18" s="24" t="s">
        <v>166</v>
      </c>
      <c r="E18" t="s">
        <v>373</v>
      </c>
      <c r="F18">
        <f t="shared" si="0"/>
        <v>4</v>
      </c>
    </row>
    <row r="19" spans="2:6">
      <c r="B19" t="s">
        <v>374</v>
      </c>
      <c r="C19" t="s">
        <v>23</v>
      </c>
      <c r="D19" s="24" t="s">
        <v>167</v>
      </c>
      <c r="E19" t="s">
        <v>373</v>
      </c>
      <c r="F19">
        <f t="shared" si="0"/>
        <v>5</v>
      </c>
    </row>
    <row r="20" spans="2:6">
      <c r="B20" t="s">
        <v>374</v>
      </c>
      <c r="C20" t="s">
        <v>154</v>
      </c>
      <c r="D20" s="24" t="s">
        <v>168</v>
      </c>
      <c r="E20" t="s">
        <v>373</v>
      </c>
      <c r="F20">
        <f t="shared" si="0"/>
        <v>6</v>
      </c>
    </row>
    <row r="21" spans="2:6">
      <c r="B21" t="s">
        <v>374</v>
      </c>
      <c r="C21" t="s">
        <v>6</v>
      </c>
      <c r="D21" s="24" t="s">
        <v>169</v>
      </c>
      <c r="E21" t="s">
        <v>373</v>
      </c>
      <c r="F21">
        <f t="shared" si="0"/>
        <v>7</v>
      </c>
    </row>
    <row r="22" spans="2:6">
      <c r="B22" t="s">
        <v>374</v>
      </c>
      <c r="C22" t="s">
        <v>7</v>
      </c>
      <c r="D22" s="24" t="s">
        <v>170</v>
      </c>
      <c r="E22" t="s">
        <v>373</v>
      </c>
      <c r="F22">
        <f t="shared" si="0"/>
        <v>8</v>
      </c>
    </row>
    <row r="23" spans="2:6">
      <c r="B23" t="s">
        <v>374</v>
      </c>
      <c r="C23" t="s">
        <v>155</v>
      </c>
      <c r="D23" s="24" t="s">
        <v>171</v>
      </c>
      <c r="E23" t="s">
        <v>373</v>
      </c>
      <c r="F23">
        <f t="shared" si="0"/>
        <v>9</v>
      </c>
    </row>
    <row r="24" spans="2:6">
      <c r="B24" t="s">
        <v>374</v>
      </c>
      <c r="C24" t="s">
        <v>156</v>
      </c>
      <c r="D24" s="24" t="s">
        <v>172</v>
      </c>
      <c r="E24" t="s">
        <v>373</v>
      </c>
      <c r="F24">
        <f t="shared" si="0"/>
        <v>10</v>
      </c>
    </row>
    <row r="25" spans="2:6">
      <c r="B25" t="s">
        <v>374</v>
      </c>
      <c r="C25" t="s">
        <v>159</v>
      </c>
      <c r="D25" s="24" t="s">
        <v>173</v>
      </c>
      <c r="E25" t="s">
        <v>373</v>
      </c>
      <c r="F25">
        <f t="shared" si="0"/>
        <v>11</v>
      </c>
    </row>
    <row r="26" spans="2:6">
      <c r="B26" t="s">
        <v>374</v>
      </c>
      <c r="C26" t="s">
        <v>160</v>
      </c>
      <c r="D26" s="24" t="s">
        <v>174</v>
      </c>
      <c r="E26" t="s">
        <v>373</v>
      </c>
      <c r="F26">
        <f t="shared" si="0"/>
        <v>12</v>
      </c>
    </row>
    <row r="27" spans="2:6">
      <c r="B27" t="s">
        <v>374</v>
      </c>
      <c r="C27" t="s">
        <v>157</v>
      </c>
      <c r="D27" s="24" t="s">
        <v>175</v>
      </c>
      <c r="E27" t="s">
        <v>373</v>
      </c>
      <c r="F27">
        <f t="shared" si="0"/>
        <v>13</v>
      </c>
    </row>
    <row r="28" spans="2:6">
      <c r="B28" t="s">
        <v>374</v>
      </c>
      <c r="C28" t="s">
        <v>158</v>
      </c>
      <c r="D28" s="24" t="s">
        <v>176</v>
      </c>
      <c r="E28" t="s">
        <v>373</v>
      </c>
      <c r="F28">
        <f t="shared" si="0"/>
        <v>14</v>
      </c>
    </row>
    <row r="29" spans="2:6">
      <c r="B29" t="s">
        <v>374</v>
      </c>
      <c r="C29" t="s">
        <v>16</v>
      </c>
      <c r="D29" s="24" t="s">
        <v>177</v>
      </c>
      <c r="E29" t="s">
        <v>373</v>
      </c>
      <c r="F29">
        <f t="shared" si="0"/>
        <v>15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AF80-0096-4316-956E-2CC2C5F31898}">
  <sheetPr codeName="Sheet9">
    <tabColor rgb="FFFFFF00"/>
  </sheetPr>
  <dimension ref="B5:C13"/>
  <sheetViews>
    <sheetView workbookViewId="0">
      <selection activeCell="F23" sqref="F23"/>
    </sheetView>
  </sheetViews>
  <sheetFormatPr defaultRowHeight="15"/>
  <sheetData>
    <row r="5" spans="2:3">
      <c r="B5" t="s">
        <v>110</v>
      </c>
      <c r="C5" t="s">
        <v>111</v>
      </c>
    </row>
    <row r="6" spans="2:3">
      <c r="B6" t="s">
        <v>108</v>
      </c>
      <c r="C6" t="s">
        <v>109</v>
      </c>
    </row>
    <row r="8" spans="2:3">
      <c r="B8" t="s">
        <v>117</v>
      </c>
      <c r="C8" t="s">
        <v>118</v>
      </c>
    </row>
    <row r="9" spans="2:3">
      <c r="B9" t="s">
        <v>113</v>
      </c>
      <c r="C9" t="s">
        <v>114</v>
      </c>
    </row>
    <row r="10" spans="2:3">
      <c r="B10" t="s">
        <v>112</v>
      </c>
      <c r="C10" t="s">
        <v>115</v>
      </c>
    </row>
    <row r="11" spans="2:3">
      <c r="B11" t="s">
        <v>124</v>
      </c>
      <c r="C11" t="s">
        <v>119</v>
      </c>
    </row>
    <row r="13" spans="2:3">
      <c r="B13" t="s">
        <v>120</v>
      </c>
      <c r="C13" t="s">
        <v>121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DAF72-0A56-43C6-B778-AAEF5391BC08}">
  <sheetPr codeName="Sheet14">
    <tabColor rgb="FFFFFF00"/>
  </sheetPr>
  <dimension ref="A1"/>
  <sheetViews>
    <sheetView workbookViewId="0">
      <selection activeCell="F23" sqref="F23"/>
    </sheetView>
  </sheetViews>
  <sheetFormatPr defaultRowHeight="1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FBDE6-F346-429B-B4A8-F2E6E2191956}">
  <sheetPr codeName="Sheet15">
    <tabColor rgb="FFFFFF00"/>
  </sheetPr>
  <dimension ref="A1:AH82"/>
  <sheetViews>
    <sheetView zoomScale="25" zoomScaleNormal="25" workbookViewId="0"/>
  </sheetViews>
  <sheetFormatPr defaultRowHeight="15"/>
  <cols>
    <col min="2" max="32" width="15.7109375" customWidth="1"/>
  </cols>
  <sheetData>
    <row r="1" spans="1:34" ht="19.5" thickBot="1">
      <c r="A1" s="1" t="s">
        <v>0</v>
      </c>
      <c r="B1" s="1"/>
      <c r="C1" s="1"/>
      <c r="D1" s="1"/>
      <c r="E1" s="1"/>
      <c r="F1" s="1"/>
      <c r="G1" s="1"/>
      <c r="H1" s="1"/>
      <c r="I1" s="1"/>
      <c r="J1" s="1"/>
      <c r="K1" s="1"/>
      <c r="L1" s="1"/>
      <c r="M1" s="1"/>
      <c r="N1" s="1"/>
      <c r="O1" s="1"/>
      <c r="P1" s="1"/>
      <c r="Q1" s="1"/>
      <c r="R1" s="1"/>
      <c r="S1" s="1"/>
      <c r="T1" s="1"/>
      <c r="U1" s="1"/>
      <c r="V1" s="1"/>
      <c r="W1" s="1"/>
    </row>
    <row r="2" spans="1:34" ht="15.75" thickTop="1">
      <c r="A2" s="2" t="s">
        <v>1</v>
      </c>
      <c r="B2" s="2"/>
      <c r="C2" s="2"/>
      <c r="D2" s="2"/>
      <c r="E2" s="2"/>
      <c r="F2" s="2"/>
      <c r="G2" s="2"/>
      <c r="H2" s="2"/>
      <c r="I2" s="2"/>
      <c r="J2" s="2"/>
      <c r="K2" s="2"/>
      <c r="L2" s="2"/>
      <c r="M2" s="2"/>
      <c r="N2" s="2"/>
      <c r="O2" s="2"/>
      <c r="P2" s="2"/>
      <c r="Q2" s="2"/>
      <c r="R2" s="2"/>
      <c r="S2" s="2"/>
      <c r="T2" s="2"/>
      <c r="U2" s="2"/>
      <c r="V2" s="2"/>
      <c r="W2" s="2"/>
    </row>
    <row r="5" spans="1:34">
      <c r="B5" t="s">
        <v>3</v>
      </c>
      <c r="C5" t="s">
        <v>30</v>
      </c>
      <c r="D5" t="s">
        <v>21</v>
      </c>
      <c r="E5" t="s">
        <v>116</v>
      </c>
      <c r="F5" t="s">
        <v>25</v>
      </c>
      <c r="G5" t="s">
        <v>26</v>
      </c>
      <c r="H5" t="s">
        <v>10</v>
      </c>
      <c r="K5" t="s">
        <v>27</v>
      </c>
      <c r="L5" t="s">
        <v>20</v>
      </c>
      <c r="M5" t="s">
        <v>28</v>
      </c>
      <c r="N5" t="s">
        <v>29</v>
      </c>
      <c r="O5" t="s">
        <v>16</v>
      </c>
      <c r="R5" t="s">
        <v>24</v>
      </c>
      <c r="S5" t="s">
        <v>23</v>
      </c>
      <c r="T5" t="s">
        <v>22</v>
      </c>
      <c r="U5" t="s">
        <v>5</v>
      </c>
      <c r="V5" t="s">
        <v>17</v>
      </c>
      <c r="W5" t="s">
        <v>6</v>
      </c>
      <c r="X5" t="s">
        <v>7</v>
      </c>
      <c r="Y5" t="s">
        <v>8</v>
      </c>
      <c r="Z5" t="s">
        <v>9</v>
      </c>
      <c r="AA5" t="s">
        <v>10</v>
      </c>
      <c r="AB5" t="s">
        <v>11</v>
      </c>
      <c r="AC5" t="s">
        <v>15</v>
      </c>
      <c r="AD5" t="s">
        <v>19</v>
      </c>
      <c r="AE5" t="s">
        <v>20</v>
      </c>
      <c r="AF5" t="s">
        <v>16</v>
      </c>
      <c r="AH5" t="s">
        <v>18</v>
      </c>
    </row>
    <row r="6" spans="1:34">
      <c r="B6">
        <v>1</v>
      </c>
      <c r="F6" t="s">
        <v>31</v>
      </c>
      <c r="I6">
        <f t="shared" ref="I6:I24" si="0">COUNTIF($F$6:$F$82,F6)</f>
        <v>1</v>
      </c>
      <c r="T6">
        <v>7240</v>
      </c>
      <c r="U6" t="s">
        <v>12</v>
      </c>
      <c r="W6" t="s">
        <v>13</v>
      </c>
      <c r="X6" t="s">
        <v>14</v>
      </c>
      <c r="Y6" t="s">
        <v>14</v>
      </c>
      <c r="AH6">
        <v>2023</v>
      </c>
    </row>
    <row r="7" spans="1:34">
      <c r="B7">
        <f>B6+1</f>
        <v>2</v>
      </c>
      <c r="F7" t="s">
        <v>32</v>
      </c>
      <c r="I7">
        <f t="shared" si="0"/>
        <v>1</v>
      </c>
      <c r="AH7">
        <v>2023</v>
      </c>
    </row>
    <row r="8" spans="1:34">
      <c r="B8">
        <f t="shared" ref="B8:B18" si="1">B7+1</f>
        <v>3</v>
      </c>
      <c r="F8" t="s">
        <v>33</v>
      </c>
      <c r="I8">
        <f t="shared" si="0"/>
        <v>1</v>
      </c>
      <c r="AH8">
        <v>2023</v>
      </c>
    </row>
    <row r="9" spans="1:34">
      <c r="B9">
        <f t="shared" si="1"/>
        <v>4</v>
      </c>
      <c r="F9" t="s">
        <v>34</v>
      </c>
      <c r="I9">
        <f t="shared" si="0"/>
        <v>1</v>
      </c>
      <c r="AH9">
        <v>2023</v>
      </c>
    </row>
    <row r="10" spans="1:34">
      <c r="B10">
        <f t="shared" si="1"/>
        <v>5</v>
      </c>
      <c r="F10" t="s">
        <v>35</v>
      </c>
      <c r="I10">
        <f t="shared" si="0"/>
        <v>1</v>
      </c>
      <c r="AH10">
        <v>2023</v>
      </c>
    </row>
    <row r="11" spans="1:34">
      <c r="B11">
        <f t="shared" si="1"/>
        <v>6</v>
      </c>
      <c r="F11" t="s">
        <v>36</v>
      </c>
      <c r="I11">
        <f t="shared" si="0"/>
        <v>1</v>
      </c>
      <c r="AH11">
        <v>2023</v>
      </c>
    </row>
    <row r="12" spans="1:34">
      <c r="B12">
        <f t="shared" si="1"/>
        <v>7</v>
      </c>
      <c r="F12" t="s">
        <v>37</v>
      </c>
      <c r="I12">
        <f t="shared" si="0"/>
        <v>1</v>
      </c>
      <c r="AH12">
        <v>2023</v>
      </c>
    </row>
    <row r="13" spans="1:34">
      <c r="B13">
        <f t="shared" si="1"/>
        <v>8</v>
      </c>
      <c r="F13" t="s">
        <v>38</v>
      </c>
      <c r="I13">
        <f t="shared" si="0"/>
        <v>1</v>
      </c>
      <c r="AH13">
        <v>2023</v>
      </c>
    </row>
    <row r="14" spans="1:34">
      <c r="B14">
        <f t="shared" si="1"/>
        <v>9</v>
      </c>
      <c r="F14" t="s">
        <v>39</v>
      </c>
      <c r="I14">
        <f t="shared" si="0"/>
        <v>1</v>
      </c>
      <c r="AH14">
        <v>2023</v>
      </c>
    </row>
    <row r="15" spans="1:34">
      <c r="B15">
        <f t="shared" si="1"/>
        <v>10</v>
      </c>
      <c r="F15" t="s">
        <v>40</v>
      </c>
      <c r="I15">
        <f t="shared" si="0"/>
        <v>1</v>
      </c>
      <c r="AH15">
        <v>2023</v>
      </c>
    </row>
    <row r="16" spans="1:34">
      <c r="B16">
        <f t="shared" si="1"/>
        <v>11</v>
      </c>
      <c r="F16" t="s">
        <v>41</v>
      </c>
      <c r="I16">
        <f t="shared" si="0"/>
        <v>1</v>
      </c>
      <c r="AH16">
        <v>2023</v>
      </c>
    </row>
    <row r="17" spans="2:34">
      <c r="B17">
        <f t="shared" si="1"/>
        <v>12</v>
      </c>
      <c r="F17" t="s">
        <v>42</v>
      </c>
      <c r="I17">
        <f t="shared" si="0"/>
        <v>1</v>
      </c>
      <c r="AH17">
        <v>2023</v>
      </c>
    </row>
    <row r="18" spans="2:34">
      <c r="B18">
        <f t="shared" si="1"/>
        <v>13</v>
      </c>
      <c r="F18" t="s">
        <v>43</v>
      </c>
      <c r="I18">
        <f t="shared" si="0"/>
        <v>1</v>
      </c>
      <c r="AH18">
        <v>2023</v>
      </c>
    </row>
    <row r="19" spans="2:34">
      <c r="F19" t="s">
        <v>44</v>
      </c>
      <c r="I19">
        <f t="shared" si="0"/>
        <v>1</v>
      </c>
    </row>
    <row r="20" spans="2:34">
      <c r="F20" t="s">
        <v>45</v>
      </c>
      <c r="I20">
        <f t="shared" si="0"/>
        <v>1</v>
      </c>
    </row>
    <row r="21" spans="2:34">
      <c r="F21" t="s">
        <v>46</v>
      </c>
      <c r="I21">
        <f t="shared" si="0"/>
        <v>1</v>
      </c>
    </row>
    <row r="22" spans="2:34">
      <c r="F22" t="s">
        <v>47</v>
      </c>
      <c r="I22">
        <f t="shared" si="0"/>
        <v>1</v>
      </c>
    </row>
    <row r="23" spans="2:34">
      <c r="F23" t="s">
        <v>48</v>
      </c>
      <c r="I23">
        <f t="shared" si="0"/>
        <v>1</v>
      </c>
    </row>
    <row r="24" spans="2:34">
      <c r="F24" t="s">
        <v>49</v>
      </c>
      <c r="I24">
        <f t="shared" si="0"/>
        <v>1</v>
      </c>
    </row>
    <row r="25" spans="2:34">
      <c r="E25" t="s">
        <v>110</v>
      </c>
      <c r="F25" s="3" t="s">
        <v>107</v>
      </c>
    </row>
    <row r="26" spans="2:34">
      <c r="E26" t="s">
        <v>110</v>
      </c>
      <c r="F26" s="3" t="s">
        <v>106</v>
      </c>
    </row>
    <row r="27" spans="2:34">
      <c r="E27" t="s">
        <v>110</v>
      </c>
      <c r="F27" s="3" t="s">
        <v>105</v>
      </c>
    </row>
    <row r="28" spans="2:34">
      <c r="F28" t="s">
        <v>51</v>
      </c>
      <c r="I28">
        <f t="shared" ref="I28:I59" si="2">COUNTIF($F$6:$F$82,F28)</f>
        <v>1</v>
      </c>
    </row>
    <row r="29" spans="2:34">
      <c r="F29" t="s">
        <v>52</v>
      </c>
      <c r="I29">
        <f t="shared" si="2"/>
        <v>1</v>
      </c>
    </row>
    <row r="30" spans="2:34">
      <c r="F30" t="s">
        <v>53</v>
      </c>
      <c r="I30">
        <f t="shared" si="2"/>
        <v>1</v>
      </c>
    </row>
    <row r="31" spans="2:34">
      <c r="F31" t="s">
        <v>54</v>
      </c>
      <c r="I31">
        <f t="shared" si="2"/>
        <v>1</v>
      </c>
    </row>
    <row r="32" spans="2:34">
      <c r="F32" t="s">
        <v>55</v>
      </c>
      <c r="I32">
        <f t="shared" si="2"/>
        <v>1</v>
      </c>
    </row>
    <row r="33" spans="6:9">
      <c r="F33" t="s">
        <v>56</v>
      </c>
      <c r="I33">
        <f t="shared" si="2"/>
        <v>1</v>
      </c>
    </row>
    <row r="34" spans="6:9">
      <c r="F34" t="s">
        <v>57</v>
      </c>
      <c r="I34">
        <f t="shared" si="2"/>
        <v>1</v>
      </c>
    </row>
    <row r="35" spans="6:9">
      <c r="F35" t="s">
        <v>58</v>
      </c>
      <c r="I35">
        <f t="shared" si="2"/>
        <v>1</v>
      </c>
    </row>
    <row r="36" spans="6:9">
      <c r="F36" t="s">
        <v>59</v>
      </c>
      <c r="I36">
        <f t="shared" si="2"/>
        <v>1</v>
      </c>
    </row>
    <row r="37" spans="6:9">
      <c r="F37" t="s">
        <v>60</v>
      </c>
      <c r="I37">
        <f t="shared" si="2"/>
        <v>1</v>
      </c>
    </row>
    <row r="38" spans="6:9">
      <c r="F38" t="s">
        <v>61</v>
      </c>
      <c r="I38">
        <f t="shared" si="2"/>
        <v>1</v>
      </c>
    </row>
    <row r="39" spans="6:9">
      <c r="F39" t="s">
        <v>62</v>
      </c>
      <c r="I39">
        <f t="shared" si="2"/>
        <v>1</v>
      </c>
    </row>
    <row r="40" spans="6:9">
      <c r="F40" t="s">
        <v>63</v>
      </c>
      <c r="I40">
        <f t="shared" si="2"/>
        <v>1</v>
      </c>
    </row>
    <row r="41" spans="6:9">
      <c r="F41" t="s">
        <v>64</v>
      </c>
      <c r="I41">
        <f t="shared" si="2"/>
        <v>1</v>
      </c>
    </row>
    <row r="42" spans="6:9">
      <c r="F42" t="s">
        <v>65</v>
      </c>
      <c r="I42">
        <f t="shared" si="2"/>
        <v>1</v>
      </c>
    </row>
    <row r="43" spans="6:9">
      <c r="F43" t="s">
        <v>66</v>
      </c>
      <c r="I43">
        <f t="shared" si="2"/>
        <v>1</v>
      </c>
    </row>
    <row r="44" spans="6:9">
      <c r="F44" t="s">
        <v>67</v>
      </c>
      <c r="I44">
        <f t="shared" si="2"/>
        <v>1</v>
      </c>
    </row>
    <row r="45" spans="6:9">
      <c r="F45" t="s">
        <v>68</v>
      </c>
      <c r="I45">
        <f t="shared" si="2"/>
        <v>1</v>
      </c>
    </row>
    <row r="46" spans="6:9">
      <c r="F46" t="s">
        <v>69</v>
      </c>
      <c r="I46">
        <f t="shared" si="2"/>
        <v>1</v>
      </c>
    </row>
    <row r="47" spans="6:9">
      <c r="F47" t="s">
        <v>70</v>
      </c>
      <c r="I47">
        <f t="shared" si="2"/>
        <v>2</v>
      </c>
    </row>
    <row r="48" spans="6:9">
      <c r="F48" t="s">
        <v>70</v>
      </c>
      <c r="I48">
        <f t="shared" si="2"/>
        <v>2</v>
      </c>
    </row>
    <row r="49" spans="6:9">
      <c r="F49" t="s">
        <v>102</v>
      </c>
      <c r="I49">
        <f t="shared" si="2"/>
        <v>1</v>
      </c>
    </row>
    <row r="50" spans="6:9">
      <c r="F50" t="s">
        <v>71</v>
      </c>
      <c r="I50">
        <f t="shared" si="2"/>
        <v>1</v>
      </c>
    </row>
    <row r="51" spans="6:9">
      <c r="F51" t="s">
        <v>72</v>
      </c>
      <c r="I51">
        <f t="shared" si="2"/>
        <v>1</v>
      </c>
    </row>
    <row r="52" spans="6:9">
      <c r="F52" t="s">
        <v>73</v>
      </c>
      <c r="I52">
        <f t="shared" si="2"/>
        <v>1</v>
      </c>
    </row>
    <row r="53" spans="6:9">
      <c r="F53" t="s">
        <v>74</v>
      </c>
      <c r="I53">
        <f t="shared" si="2"/>
        <v>1</v>
      </c>
    </row>
    <row r="54" spans="6:9">
      <c r="F54" t="s">
        <v>75</v>
      </c>
      <c r="I54">
        <f t="shared" si="2"/>
        <v>1</v>
      </c>
    </row>
    <row r="55" spans="6:9">
      <c r="F55" t="s">
        <v>76</v>
      </c>
      <c r="I55">
        <f t="shared" si="2"/>
        <v>1</v>
      </c>
    </row>
    <row r="56" spans="6:9">
      <c r="F56" t="s">
        <v>77</v>
      </c>
      <c r="I56">
        <f t="shared" si="2"/>
        <v>1</v>
      </c>
    </row>
    <row r="57" spans="6:9">
      <c r="F57" t="s">
        <v>78</v>
      </c>
      <c r="I57">
        <f t="shared" si="2"/>
        <v>1</v>
      </c>
    </row>
    <row r="58" spans="6:9">
      <c r="F58" t="s">
        <v>79</v>
      </c>
      <c r="I58">
        <f t="shared" si="2"/>
        <v>1</v>
      </c>
    </row>
    <row r="59" spans="6:9">
      <c r="F59" t="s">
        <v>80</v>
      </c>
      <c r="I59">
        <f t="shared" si="2"/>
        <v>1</v>
      </c>
    </row>
    <row r="60" spans="6:9">
      <c r="F60" t="s">
        <v>81</v>
      </c>
      <c r="I60">
        <f t="shared" ref="I60:I82" si="3">COUNTIF($F$6:$F$82,F60)</f>
        <v>1</v>
      </c>
    </row>
    <row r="61" spans="6:9">
      <c r="F61" t="s">
        <v>82</v>
      </c>
      <c r="I61">
        <f t="shared" si="3"/>
        <v>1</v>
      </c>
    </row>
    <row r="62" spans="6:9">
      <c r="F62" t="s">
        <v>83</v>
      </c>
      <c r="I62">
        <f t="shared" si="3"/>
        <v>1</v>
      </c>
    </row>
    <row r="63" spans="6:9">
      <c r="F63" t="s">
        <v>84</v>
      </c>
      <c r="I63">
        <f t="shared" si="3"/>
        <v>1</v>
      </c>
    </row>
    <row r="64" spans="6:9">
      <c r="F64" t="s">
        <v>85</v>
      </c>
      <c r="I64">
        <f t="shared" si="3"/>
        <v>1</v>
      </c>
    </row>
    <row r="65" spans="6:9">
      <c r="F65" t="s">
        <v>86</v>
      </c>
      <c r="I65">
        <f t="shared" si="3"/>
        <v>1</v>
      </c>
    </row>
    <row r="66" spans="6:9">
      <c r="F66" t="s">
        <v>87</v>
      </c>
      <c r="I66">
        <f t="shared" si="3"/>
        <v>1</v>
      </c>
    </row>
    <row r="67" spans="6:9">
      <c r="F67" t="s">
        <v>88</v>
      </c>
      <c r="I67">
        <f t="shared" si="3"/>
        <v>1</v>
      </c>
    </row>
    <row r="68" spans="6:9">
      <c r="F68" t="s">
        <v>89</v>
      </c>
      <c r="I68">
        <f t="shared" si="3"/>
        <v>1</v>
      </c>
    </row>
    <row r="69" spans="6:9">
      <c r="F69" t="s">
        <v>90</v>
      </c>
      <c r="I69">
        <f t="shared" si="3"/>
        <v>1</v>
      </c>
    </row>
    <row r="70" spans="6:9">
      <c r="F70" t="s">
        <v>91</v>
      </c>
      <c r="I70">
        <f t="shared" si="3"/>
        <v>1</v>
      </c>
    </row>
    <row r="71" spans="6:9">
      <c r="F71" t="s">
        <v>92</v>
      </c>
      <c r="I71">
        <f t="shared" si="3"/>
        <v>1</v>
      </c>
    </row>
    <row r="72" spans="6:9">
      <c r="F72" t="s">
        <v>103</v>
      </c>
      <c r="I72">
        <f t="shared" si="3"/>
        <v>1</v>
      </c>
    </row>
    <row r="73" spans="6:9">
      <c r="F73" t="s">
        <v>93</v>
      </c>
      <c r="I73">
        <f t="shared" si="3"/>
        <v>1</v>
      </c>
    </row>
    <row r="74" spans="6:9">
      <c r="F74" t="s">
        <v>94</v>
      </c>
      <c r="I74">
        <f t="shared" si="3"/>
        <v>1</v>
      </c>
    </row>
    <row r="75" spans="6:9">
      <c r="F75" t="s">
        <v>95</v>
      </c>
      <c r="I75">
        <f t="shared" si="3"/>
        <v>1</v>
      </c>
    </row>
    <row r="76" spans="6:9">
      <c r="F76" t="s">
        <v>96</v>
      </c>
      <c r="I76">
        <f t="shared" si="3"/>
        <v>1</v>
      </c>
    </row>
    <row r="77" spans="6:9">
      <c r="F77" t="s">
        <v>97</v>
      </c>
      <c r="I77">
        <f t="shared" si="3"/>
        <v>1</v>
      </c>
    </row>
    <row r="78" spans="6:9">
      <c r="F78" t="s">
        <v>98</v>
      </c>
      <c r="I78">
        <f t="shared" si="3"/>
        <v>1</v>
      </c>
    </row>
    <row r="79" spans="6:9">
      <c r="F79" t="s">
        <v>99</v>
      </c>
      <c r="I79">
        <f t="shared" si="3"/>
        <v>1</v>
      </c>
    </row>
    <row r="80" spans="6:9">
      <c r="F80" t="s">
        <v>100</v>
      </c>
      <c r="I80">
        <f t="shared" si="3"/>
        <v>1</v>
      </c>
    </row>
    <row r="81" spans="6:9">
      <c r="F81" t="s">
        <v>104</v>
      </c>
      <c r="I81">
        <f t="shared" si="3"/>
        <v>1</v>
      </c>
    </row>
    <row r="82" spans="6:9">
      <c r="F82" t="s">
        <v>101</v>
      </c>
      <c r="I82">
        <f t="shared" si="3"/>
        <v>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7A57-D665-49D8-A721-227028C989F5}">
  <sheetPr codeName="Sheet16">
    <tabColor rgb="FFFFFF00"/>
  </sheetPr>
  <dimension ref="B2:U10"/>
  <sheetViews>
    <sheetView zoomScale="85" zoomScaleNormal="85" workbookViewId="0">
      <selection activeCell="N19" sqref="N19"/>
    </sheetView>
  </sheetViews>
  <sheetFormatPr defaultRowHeight="15"/>
  <sheetData>
    <row r="2" spans="2:21">
      <c r="B2" t="s">
        <v>110</v>
      </c>
      <c r="C2" t="s">
        <v>111</v>
      </c>
    </row>
    <row r="3" spans="2:21">
      <c r="B3" t="s">
        <v>108</v>
      </c>
      <c r="C3" t="s">
        <v>109</v>
      </c>
    </row>
    <row r="5" spans="2:21">
      <c r="B5" t="s">
        <v>117</v>
      </c>
      <c r="C5" t="s">
        <v>118</v>
      </c>
    </row>
    <row r="6" spans="2:21">
      <c r="B6" t="s">
        <v>113</v>
      </c>
      <c r="C6" t="s">
        <v>114</v>
      </c>
      <c r="H6" s="4" t="s">
        <v>125</v>
      </c>
      <c r="K6" s="4" t="s">
        <v>126</v>
      </c>
      <c r="P6" s="4" t="s">
        <v>127</v>
      </c>
      <c r="U6" s="4" t="s">
        <v>128</v>
      </c>
    </row>
    <row r="7" spans="2:21">
      <c r="B7" t="s">
        <v>112</v>
      </c>
      <c r="C7" t="s">
        <v>115</v>
      </c>
    </row>
    <row r="8" spans="2:21">
      <c r="B8" t="s">
        <v>124</v>
      </c>
      <c r="C8" t="s">
        <v>119</v>
      </c>
      <c r="H8" s="4" t="s">
        <v>123</v>
      </c>
    </row>
    <row r="10" spans="2:21">
      <c r="B10" t="s">
        <v>120</v>
      </c>
      <c r="C10" t="s">
        <v>121</v>
      </c>
      <c r="H10" s="4" t="s">
        <v>122</v>
      </c>
    </row>
  </sheetData>
  <hyperlinks>
    <hyperlink ref="H10" r:id="rId1" xr:uid="{CFC1CD23-3092-4E80-8AE7-D86B8F8C89FA}"/>
    <hyperlink ref="H8" r:id="rId2" display="https://wiwf.org/cdnwiwf/" xr:uid="{81EB9326-8F30-43F5-AAA7-2754DB535D2A}"/>
    <hyperlink ref="H6" r:id="rId3" display="https://dnr.wisconsin.gov/aid" xr:uid="{82A9A0A7-6563-4C83-8590-2148B0F78A32}"/>
    <hyperlink ref="K6" r:id="rId4" display="https://dnr.wisconsin.gov/sitemap.xml" xr:uid="{3F416173-C9EB-4239-8ED5-6138C90F836F}"/>
    <hyperlink ref="P6" r:id="rId5" display="https://dnr.wisconsin.gov/about/divisions/externalservices" xr:uid="{17A8A1E2-C1C1-433C-8707-BC06D383A554}"/>
    <hyperlink ref="U6" r:id="rId6" display="https://dnr.wisconsin.gov/topic/lands" xr:uid="{11EEE95E-CA5F-4C3F-96CD-0C3D80902980}"/>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10CF-FD6F-465E-A938-08849DC3B0C3}">
  <sheetPr codeName="Sheet17">
    <tabColor rgb="FFFFFF00"/>
  </sheetPr>
  <dimension ref="B5:G6"/>
  <sheetViews>
    <sheetView zoomScale="85" zoomScaleNormal="85" workbookViewId="0"/>
  </sheetViews>
  <sheetFormatPr defaultRowHeight="15"/>
  <cols>
    <col min="3" max="3" width="4.28515625" customWidth="1"/>
    <col min="4" max="5" width="10.28515625" customWidth="1"/>
  </cols>
  <sheetData>
    <row r="5" spans="2:7">
      <c r="B5" t="s">
        <v>129</v>
      </c>
      <c r="D5" s="5">
        <v>45213</v>
      </c>
      <c r="E5" s="5">
        <v>45298</v>
      </c>
      <c r="G5" s="4" t="s">
        <v>131</v>
      </c>
    </row>
    <row r="6" spans="2:7">
      <c r="B6" s="7" t="s">
        <v>130</v>
      </c>
      <c r="D6" s="6">
        <v>45185</v>
      </c>
      <c r="E6" s="6">
        <v>45295</v>
      </c>
    </row>
  </sheetData>
  <hyperlinks>
    <hyperlink ref="G5" r:id="rId1" display="https://widnr.widen.net/s/fjhxhtzq6t/2023-wisconsin-hunting-regulations" xr:uid="{BD2187E4-65F4-4582-9613-14E0F2AA48F6}"/>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0F2F76-3B62-49AC-8E61-19311ED698E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Index</vt:lpstr>
      <vt:lpstr>Intro</vt:lpstr>
      <vt:lpstr>Reference</vt:lpstr>
      <vt:lpstr>Notes</vt:lpstr>
      <vt:lpstr>Data -&gt;</vt:lpstr>
      <vt:lpstr>Property</vt:lpstr>
      <vt:lpstr>Original -&gt;</vt:lpstr>
      <vt:lpstr>Sheet7</vt:lpstr>
      <vt:lpstr>FFLIGHT Data</vt:lpstr>
      <vt:lpstr>PheasantStocking Data</vt:lpstr>
      <vt:lpstr>FFLIGHT</vt:lpstr>
      <vt:lpstr>StockingList</vt:lpstr>
      <vt:lpstr>TEMP -&gt;</vt:lpstr>
      <vt:lpstr>County</vt:lpstr>
      <vt:lpstr>Geography</vt:lpstr>
      <vt:lpstr>Changelog</vt:lpstr>
      <vt:lpstr>Template</vt:lpstr>
      <vt:lpstr>Inputs</vt:lpstr>
      <vt:lpstr>Metadata -&gt;</vt:lpstr>
      <vt:lpstr>Data Dictionary</vt:lpstr>
      <vt:lpstr>Business Glossary</vt:lpstr>
      <vt:lpstr>Model -&gt;</vt: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Pheasant Stocking Data Model - 2023</dc:title>
  <dc:creator>Jimmy Briggs</dc:creator>
  <cp:keywords>DataModel</cp:keywords>
  <cp:lastModifiedBy>Jimmy Briggs</cp:lastModifiedBy>
  <dcterms:created xsi:type="dcterms:W3CDTF">2023-09-29T19:35:08Z</dcterms:created>
  <dcterms:modified xsi:type="dcterms:W3CDTF">2023-10-01T18:57:42Z</dcterms:modified>
</cp:coreProperties>
</file>