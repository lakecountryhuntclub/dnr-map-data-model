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X:\github\lakecountryhuntclub\DNR_Map\src\"/>
    </mc:Choice>
  </mc:AlternateContent>
  <xr:revisionPtr revIDLastSave="0" documentId="8_{BD093398-35BF-4FC8-AFE7-35263AA3F997}" xr6:coauthVersionLast="47" xr6:coauthVersionMax="47" xr10:uidLastSave="{00000000-0000-0000-0000-000000000000}"/>
  <bookViews>
    <workbookView xWindow="-120" yWindow="-120" windowWidth="29040" windowHeight="15720" firstSheet="12" activeTab="8" xr2:uid="{E4E5E42F-CDB2-4CF9-9629-72531C388261}"/>
  </bookViews>
  <sheets>
    <sheet name="Index" sheetId="1" r:id="rId1"/>
    <sheet name="Intro -&gt;" sheetId="21" r:id="rId2"/>
    <sheet name="About" sheetId="2" r:id="rId3"/>
    <sheet name="Reference" sheetId="3" r:id="rId4"/>
    <sheet name="Notes" sheetId="4" r:id="rId5"/>
    <sheet name="Changelog" sheetId="5" state="hidden" r:id="rId6"/>
    <sheet name="Inputs" sheetId="6" state="hidden" r:id="rId7"/>
    <sheet name="Data -&gt;" sheetId="7" r:id="rId8"/>
    <sheet name="Properties" sheetId="12" r:id="rId9"/>
    <sheet name="Metadata -&gt;" sheetId="8" r:id="rId10"/>
    <sheet name="Data Dictionary" sheetId="9" r:id="rId11"/>
    <sheet name="Data Model" sheetId="10" r:id="rId12"/>
    <sheet name="Glossary" sheetId="11" r:id="rId13"/>
    <sheet name="Data Sources -&gt;" sheetId="13" r:id="rId14"/>
    <sheet name="FFLIGHT Data" sheetId="19" r:id="rId15"/>
    <sheet name="DNR Pheasant Stocking Data" sheetId="20" r:id="rId16"/>
    <sheet name="Reference Data -&gt;" sheetId="14" r:id="rId17"/>
    <sheet name="Counties" sheetId="15" r:id="rId18"/>
    <sheet name="Stocking Providers" sheetId="16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2" l="1"/>
  <c r="E15" i="12" s="1"/>
  <c r="F15" i="12" s="1"/>
  <c r="G15" i="12" s="1"/>
  <c r="H15" i="12" s="1"/>
  <c r="I15" i="12" s="1"/>
  <c r="J15" i="12" s="1"/>
  <c r="K15" i="12" s="1"/>
  <c r="L15" i="12" s="1"/>
  <c r="M15" i="12" s="1"/>
  <c r="N15" i="12" s="1"/>
  <c r="O15" i="12" s="1"/>
  <c r="P15" i="12" s="1"/>
  <c r="Q15" i="12" s="1"/>
  <c r="E16" i="12" a="1"/>
  <c r="D16" i="12" a="1"/>
  <c r="C16" i="12" a="1"/>
  <c r="Q16" i="12" a="1"/>
  <c r="P16" i="12" a="1"/>
  <c r="O16" i="12" a="1"/>
  <c r="N16" i="12" a="1"/>
  <c r="M16" i="12" a="1"/>
  <c r="G16" i="12" a="1"/>
  <c r="L16" i="12" a="1"/>
  <c r="F16" i="12" a="1"/>
  <c r="K16" i="12" a="1"/>
  <c r="J16" i="12" a="1"/>
  <c r="I16" i="12" a="1"/>
  <c r="H16" i="12" a="1"/>
  <c r="N16" i="12" l="1"/>
  <c r="O16" i="12"/>
  <c r="P16" i="12"/>
  <c r="Q16" i="12"/>
  <c r="H16" i="12"/>
  <c r="I16" i="12"/>
  <c r="J16" i="12"/>
  <c r="K16" i="12"/>
  <c r="F16" i="12"/>
  <c r="L16" i="12"/>
  <c r="G16" i="12"/>
  <c r="M16" i="12"/>
  <c r="C16" i="12"/>
  <c r="E16" i="12"/>
  <c r="D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<sst xmlns="http://schemas.openxmlformats.org/spreadsheetml/2006/main" count="526" uniqueCount="351">
  <si>
    <t>Index</t>
  </si>
  <si>
    <t>Index Description...</t>
  </si>
  <si>
    <t>About</t>
  </si>
  <si>
    <t>Reference</t>
  </si>
  <si>
    <t>Notes</t>
  </si>
  <si>
    <t>Changelog</t>
  </si>
  <si>
    <t>Inputs</t>
  </si>
  <si>
    <t>Inputs Description...</t>
  </si>
  <si>
    <t>Reference Data -&gt;</t>
  </si>
  <si>
    <t>Reference Data -&gt; Description...</t>
  </si>
  <si>
    <t>Counties</t>
  </si>
  <si>
    <t>Counties Description...</t>
  </si>
  <si>
    <t>Stocking Providers</t>
  </si>
  <si>
    <t>Stocking Providers Description...</t>
  </si>
  <si>
    <t>Metadata -&gt;</t>
  </si>
  <si>
    <t>Metadata -&gt; Description...</t>
  </si>
  <si>
    <t>Data Dictionary</t>
  </si>
  <si>
    <t>Data Dictionary Description...</t>
  </si>
  <si>
    <t>Data Model</t>
  </si>
  <si>
    <t>Data Model Description...</t>
  </si>
  <si>
    <t>Glossary</t>
  </si>
  <si>
    <t>Glossary Description...</t>
  </si>
  <si>
    <t>Data -&gt;</t>
  </si>
  <si>
    <t>Data -&gt; Description...</t>
  </si>
  <si>
    <t>Properties</t>
  </si>
  <si>
    <t>Data Sources -&gt;</t>
  </si>
  <si>
    <t>Data Sources -&gt; Description...</t>
  </si>
  <si>
    <t>FFLIGHT Data</t>
  </si>
  <si>
    <t>FFLIGHT Data Description...</t>
  </si>
  <si>
    <t>DNR Pheasant Stocking Data</t>
  </si>
  <si>
    <t>DNR Pheasant Stocking Data Description...</t>
  </si>
  <si>
    <t>Introduction and Overview of this Workbook's Contents and Purpose.</t>
  </si>
  <si>
    <t>Sheets</t>
  </si>
  <si>
    <t>General Overview of the Workbook</t>
  </si>
  <si>
    <t>Reference Materials and External Links</t>
  </si>
  <si>
    <t>Data Notes</t>
  </si>
  <si>
    <t>Workbook Changelog</t>
  </si>
  <si>
    <t>Workbook / Data Model Inputs</t>
  </si>
  <si>
    <t>General Overview of the Workbook.</t>
  </si>
  <si>
    <t>Introduction</t>
  </si>
  <si>
    <t>OVERVIEW</t>
  </si>
  <si>
    <t>The purpose of this workbook is to formulate and consolidate data from various sources into a working data model for the 2023 Pheasant Stocking in Wisconsin.</t>
  </si>
  <si>
    <t>NOTES</t>
  </si>
  <si>
    <t>Source:</t>
  </si>
  <si>
    <t>Pheasant Stocking Information (wi.gov)</t>
  </si>
  <si>
    <t>Fields &amp; Forest Lands Interactive Gamebird Hunting Tool (FFLIGHT)</t>
  </si>
  <si>
    <t>DNR State Game Farm</t>
  </si>
  <si>
    <t>Links</t>
  </si>
  <si>
    <t>Wisconsin Hunting Regulations (PDF)</t>
  </si>
  <si>
    <t>Wisconsin Department of Natural Resources (DNR)</t>
  </si>
  <si>
    <t>DNR - State Game Farm</t>
  </si>
  <si>
    <t>DNR - External Services</t>
  </si>
  <si>
    <t>DNR - Public Access Lands</t>
  </si>
  <si>
    <t>Wisconsin Wildlife Federation</t>
  </si>
  <si>
    <t>Door County Fish Farm &amp; Game Club - Pheasant Release</t>
  </si>
  <si>
    <t>GitHub Repository</t>
  </si>
  <si>
    <t>Wisconsin DNR Hub Community (ArcGIS)</t>
  </si>
  <si>
    <t>Wisconsin DNR Open Data Portal (ArcGIS)</t>
  </si>
  <si>
    <t>Link to the Wisconsin Department of Natural Resources Homepage.</t>
  </si>
  <si>
    <t>Fields &amp; Forest Lands Interactive Gamebird Hunting Tool (FFLIGHT) | | Wisconsin DNR</t>
  </si>
  <si>
    <t>Maps | Northern Highland-American Legion State Forest | Wisconsin DNR</t>
  </si>
  <si>
    <t>WI DNR License Sales Locations (arcgis.com)</t>
  </si>
  <si>
    <t>DNR Open Records Coordinator Guide.pdf (wisconsin.gov)</t>
  </si>
  <si>
    <t>CME Counties Served - Google My Maps</t>
  </si>
  <si>
    <t>Contact | Wisconsin DNR</t>
  </si>
  <si>
    <t>Public Input | Wisconsin DNR</t>
  </si>
  <si>
    <t>Affiliate Club Membership - Wisconsin Wildlife Federation (wiwf.org)</t>
  </si>
  <si>
    <t>Home Page - Wisconsin Wildlife Federation (wiwf.org)</t>
  </si>
  <si>
    <t>LF Geocortex Web Map Application (wisconsin.gov)</t>
  </si>
  <si>
    <t>Wisconsin Department of Natural Resources (DNR):</t>
  </si>
  <si>
    <t>Link to the DNR's Pheasant Hunting and Management Information.</t>
  </si>
  <si>
    <t>Hunting Season Dates and Application Deadlines | Wisconsin DNR</t>
  </si>
  <si>
    <t>Pheasant Hunting and Management | Wisconsin DNR</t>
  </si>
  <si>
    <t>Wisconsin DNR Go Wild!</t>
  </si>
  <si>
    <t>Hunting Regulations and Hours | Wisconsin DNR</t>
  </si>
  <si>
    <t>Link to DNR's Hunting Regulations and Hours</t>
  </si>
  <si>
    <t>Link to the DNR's Season Dates and Deadlines</t>
  </si>
  <si>
    <t>Small Game Hunting | Wisconsin DNR</t>
  </si>
  <si>
    <t>Choose a Map | Maps and GIS | Wisconsin DNR</t>
  </si>
  <si>
    <t>Project Lists and Intended Use Plans | Wisconsin DNR</t>
  </si>
  <si>
    <t>Online Systems | Wisconsin DNR</t>
  </si>
  <si>
    <t>Office of Communications | Wisconsin DNR</t>
  </si>
  <si>
    <t>Site Requirements | Wisconsin DNR</t>
  </si>
  <si>
    <t>Office of Communications for the DNR</t>
  </si>
  <si>
    <t>Contact information</t>
  </si>
  <si>
    <t>Site Requirements</t>
  </si>
  <si>
    <t>Public Input Information</t>
  </si>
  <si>
    <t>External Services</t>
  </si>
  <si>
    <t>Public Access Lands</t>
  </si>
  <si>
    <t>State Game Farm</t>
  </si>
  <si>
    <t>Small Game Hunting</t>
  </si>
  <si>
    <t>Maps and Apps</t>
  </si>
  <si>
    <t>DNR Project List</t>
  </si>
  <si>
    <t>DNR Online Systems</t>
  </si>
  <si>
    <t>PDFs:</t>
  </si>
  <si>
    <t>Voluntary Public Access and Habitat Incentive Program | Wisconsin DNR</t>
  </si>
  <si>
    <t>2023 Hunting Regulations PDF</t>
  </si>
  <si>
    <t>2023 Wisconsin Hunting and Trapping Season Dates (PDF)</t>
  </si>
  <si>
    <t>PDF with all hunting and traping season dates and details.</t>
  </si>
  <si>
    <t>2023 Hunting Hours Map (PDF)</t>
  </si>
  <si>
    <t>2023 Southern Shooting Hours (PDF)</t>
  </si>
  <si>
    <t>ArcGIS Community Hub for DNR</t>
  </si>
  <si>
    <t>Pheasant Stocking Information (wi.gov) | Wisconsin DNR</t>
  </si>
  <si>
    <t>Homepage for the FFLIGHT Application.</t>
  </si>
  <si>
    <t>Source Code for this Project.</t>
  </si>
  <si>
    <t>PDF with Southern Area Hours</t>
  </si>
  <si>
    <t>SiteMap | Wisconsin DNR</t>
  </si>
  <si>
    <t>Sitemaps (XML) for the DNR Site</t>
  </si>
  <si>
    <t>Sitemap File: Page 6</t>
  </si>
  <si>
    <t>Links to Sitemaps</t>
  </si>
  <si>
    <t>Find a VPA Property by Interactive Map | Wisconsin DNR</t>
  </si>
  <si>
    <t>Other Relevant:</t>
  </si>
  <si>
    <t>The Wisconsin DNR Pheasant Stocking Plans and Properties.</t>
  </si>
  <si>
    <t>Private Landowner Voluntary Public Access Lands Initiative</t>
  </si>
  <si>
    <t>Northern Highland American Legion State Forest Links to Maps</t>
  </si>
  <si>
    <t>Interactive Map for VPAs</t>
  </si>
  <si>
    <t>PDF with details on Closed Shooting Hours and Zones</t>
  </si>
  <si>
    <t>Interactive ArcGIS License Sales Locations Map</t>
  </si>
  <si>
    <t>Google Map of Wisconsin Counties</t>
  </si>
  <si>
    <t>Wisconsin DNR GIS Open Data Portal.</t>
  </si>
  <si>
    <t>DNR Geocortex Development Documentation</t>
  </si>
  <si>
    <t>Quick Access:</t>
  </si>
  <si>
    <t>DNR Links</t>
  </si>
  <si>
    <t>PDF Links</t>
  </si>
  <si>
    <t>GIS Links</t>
  </si>
  <si>
    <t>Other Relevant Links</t>
  </si>
  <si>
    <t>Geographic Information Systems (GIS):</t>
  </si>
  <si>
    <t>Office of Open Government - Resources | Wisconsin Department of Justice</t>
  </si>
  <si>
    <t>Data Documentation Notes</t>
  </si>
  <si>
    <t>Data Conformance and Mapping</t>
  </si>
  <si>
    <t>Notes regarding assumptions and transformations made to data to map and enhance source data together.</t>
  </si>
  <si>
    <t>Conform and synthesize the data extracted from FFLIGHT with the provided property listing data from DNR.</t>
  </si>
  <si>
    <t xml:space="preserve">Goal: </t>
  </si>
  <si>
    <t>Extensive WL Habitat</t>
  </si>
  <si>
    <t>Code</t>
  </si>
  <si>
    <t>EXTENSIVE WL HABITAT</t>
  </si>
  <si>
    <t>Oconomowoc Fish And Wildlife Habitat Area</t>
  </si>
  <si>
    <t>Bloomfield Wildlife Area - Brever And Litchfield Road</t>
  </si>
  <si>
    <t>Troy Wildlife Area - Lauderdale Hwy A</t>
  </si>
  <si>
    <t>"EXTENSIVE WL HABITAT" FFLIGHT Property has three separate, distinct codes which have now been mapped to individual properties per below:</t>
  </si>
  <si>
    <t>County</t>
  </si>
  <si>
    <t>Acres</t>
  </si>
  <si>
    <t>Stocking</t>
  </si>
  <si>
    <t>Max Birds</t>
  </si>
  <si>
    <t>Comments</t>
  </si>
  <si>
    <t>Waukesha</t>
  </si>
  <si>
    <t>Walworth</t>
  </si>
  <si>
    <t>DNR Property</t>
  </si>
  <si>
    <t>FFLIGHT Property</t>
  </si>
  <si>
    <t>FFLIGHT = EXTENSIVE WL HABITAT (10049); DATA = BLOOMFIELD (WALWORTH)</t>
  </si>
  <si>
    <t>FFLIGHT = EXTENSIVE WL HABITAT (10107); DATA = TROY (WALWORTH)</t>
  </si>
  <si>
    <t>FFLIGHT = EXTENSIVE WL HABITAT (10145); DATA = OCONOMOWOC (WAUKESHA)</t>
  </si>
  <si>
    <t>Glacial Habitat Restoration</t>
  </si>
  <si>
    <t>"GLACIAL HABITAT RESTORATION" FFLIGHT Property uses a single code (7534) for all listings, however, the comments and stocking level numbers indicate three separate actual properties that are in turn converged into two used properties</t>
  </si>
  <si>
    <t>GLACIAL HABITAT RESTORATION</t>
  </si>
  <si>
    <t>Glacial Habitat Restoration Area - Dodge</t>
  </si>
  <si>
    <t>Dodge</t>
  </si>
  <si>
    <t>Dodge County GHRA properties- DeVries, Werth</t>
  </si>
  <si>
    <t>Glacial Habitat Restoration Area - Winnebago</t>
  </si>
  <si>
    <t>Winnebago</t>
  </si>
  <si>
    <t>Winnebago County-Warnke GHRA; Fond du Lac GHRA (Glacial Habitat Restoration Area) properties: Spirit, Rens, Buwalda, and O'Leary.</t>
  </si>
  <si>
    <t>Lower Wisconsin State Riverway</t>
  </si>
  <si>
    <t>"LOWER WISCONSIN STATE RIVERWAY" FFLIGHT Property has three separate codees which have now been mapped to individual properties per below:</t>
  </si>
  <si>
    <t>LOWER WISCONSIN STATE RIVERWAY</t>
  </si>
  <si>
    <t>Boscobel Unit</t>
  </si>
  <si>
    <t>Grant</t>
  </si>
  <si>
    <t>Richwood Unit</t>
  </si>
  <si>
    <t>Richland</t>
  </si>
  <si>
    <t>Combining "Winward Square Prairie" (120 acres) and "Wanek - LWSR" (200 acres) into Richwood Unit with 320 total acres.</t>
  </si>
  <si>
    <t>Avoca Unit</t>
  </si>
  <si>
    <t>Iowa</t>
  </si>
  <si>
    <t>Avoca Rod &amp; Gun Club stocks ~450 birds as part of the DOC program</t>
  </si>
  <si>
    <t>Notes:</t>
  </si>
  <si>
    <t xml:space="preserve">In FFLIGHT, code 10389 has two separate properties with 120 and 200 acres respectively, these are labeled with comments indicating Winward Square Prairie and Wanek LWSR. </t>
  </si>
  <si>
    <t>These are to be mapped to "Richwood Unit" in Richland County once merged into a single property with 320 acres.</t>
  </si>
  <si>
    <t>Lower Wolf River Bottomlands Natural Resource Area</t>
  </si>
  <si>
    <t>Mapped FLIGHT Property "Lower Wolf River Bottomlands Natural Resource Area" to "Beilfuss Unit"</t>
  </si>
  <si>
    <t>Beilfuss Unit</t>
  </si>
  <si>
    <t>Shawano</t>
  </si>
  <si>
    <t>Mapped "Lower Wolf River Bottomlands Natural Resource Area" to "Beilfuss Unit"</t>
  </si>
  <si>
    <t>Scattered Wildlife</t>
  </si>
  <si>
    <t>"SCATTERED WILDLIFE" FFLIGHT Property has two separate codes: 10243 and 10102 deemed to be "Hallie Marsh Wildlife Area" and "Northfield Fishery Area", respectively.</t>
  </si>
  <si>
    <t>Hallie Marsh Wildlife Area is missing acres?</t>
  </si>
  <si>
    <t>SCATTERED WILDLIFE</t>
  </si>
  <si>
    <t>Hallie Marsh Wildlife Area</t>
  </si>
  <si>
    <t>Chippewa</t>
  </si>
  <si>
    <t>Missing Acres; Split out from SCATTERED WILDLIFE</t>
  </si>
  <si>
    <t>Northfield Fishery Area</t>
  </si>
  <si>
    <t>Jackson</t>
  </si>
  <si>
    <t>Split out from SCATTERED WILDLIFE</t>
  </si>
  <si>
    <t>Statewide Habitat Areas</t>
  </si>
  <si>
    <t>"STATEWIDE HABITAT AREAS" FFLIGHT Property (10413) mapped to property "Hoosier Creek Habitat Area":</t>
  </si>
  <si>
    <t>STATEWIDE HABITAT AREAS</t>
  </si>
  <si>
    <t>Hoosier Creek Habitat Area</t>
  </si>
  <si>
    <t>Racine</t>
  </si>
  <si>
    <t>Mapped "STATEWIDE HABITAT AREAS" to "Hoosier Creek Habitat Area"</t>
  </si>
  <si>
    <t>Statewide Wildlife Habitat</t>
  </si>
  <si>
    <t>"STATEWIDE WILDLIFE HABITAT" FFLIGHT Properties (10217 and 10301) mapped to properties: "Brusky Wildlife Area" (10217) and "Statewide Wildlife Habitat - Dodge" (10301)</t>
  </si>
  <si>
    <t>STATEWIDE WILDLIFE HABITAT</t>
  </si>
  <si>
    <t>Brusky Wildlife Area</t>
  </si>
  <si>
    <t>Kewaunee</t>
  </si>
  <si>
    <t>Stocked with birds from D.O.C. (Door County Fish Farm and Game Club); Split out from "STATEWIDE WILDLIFE HABITAT"</t>
  </si>
  <si>
    <t>Statewide Wildlife Habitat - Dodge</t>
  </si>
  <si>
    <t>Sinissippi</t>
  </si>
  <si>
    <t>Stream Bank Protection Program</t>
  </si>
  <si>
    <t>"Stream Bank Protection Program" FFLIGHT Property (11423 and 11387) mapped to "Sand Creek Fishery Area-Monroe Co." and "Honey Creek Stream Bank Protection Area"</t>
  </si>
  <si>
    <t>Stream Bank Protection Fee Program</t>
  </si>
  <si>
    <t>Sand Creek Fishery Area-Monroe Co.</t>
  </si>
  <si>
    <t>Monroe</t>
  </si>
  <si>
    <t>Honey Creek Stream Bank Protection Area</t>
  </si>
  <si>
    <t>Workbook Changelog and Version Control Management.</t>
  </si>
  <si>
    <t>Properties associated with the 2023 Pheasant Stocking.</t>
  </si>
  <si>
    <t>Metadata</t>
  </si>
  <si>
    <t>Table Version:</t>
  </si>
  <si>
    <t>Table Description:</t>
  </si>
  <si>
    <t>Table Name:</t>
  </si>
  <si>
    <t>Last Modified:</t>
  </si>
  <si>
    <t>Last Modified By:</t>
  </si>
  <si>
    <t>2023 DNR Pheasant Stocking Properties</t>
  </si>
  <si>
    <t>1.0.0</t>
  </si>
  <si>
    <t>Jimmy Briggs</t>
  </si>
  <si>
    <t>Fields | Columns</t>
  </si>
  <si>
    <t>Order</t>
  </si>
  <si>
    <t>Display Name</t>
  </si>
  <si>
    <t>Used Name</t>
  </si>
  <si>
    <t>Constraints</t>
  </si>
  <si>
    <t>Property ID</t>
  </si>
  <si>
    <t>PRIMARY KEY NOT NULL UNIQUE</t>
  </si>
  <si>
    <t>Property Name</t>
  </si>
  <si>
    <t>UNIQUE NOT NULL</t>
  </si>
  <si>
    <t>Alternate Property Name</t>
  </si>
  <si>
    <t>LMS Local Property ID</t>
  </si>
  <si>
    <t>Total Hunting Acres</t>
  </si>
  <si>
    <t>Stocked by DNR</t>
  </si>
  <si>
    <t>Stocked by DOC</t>
  </si>
  <si>
    <t>Proposed Stocking</t>
  </si>
  <si>
    <t>Previous Stocking</t>
  </si>
  <si>
    <t>Max Birds per Stocking</t>
  </si>
  <si>
    <t>Map Visibility Flag</t>
  </si>
  <si>
    <t>Closure Restrictions</t>
  </si>
  <si>
    <t>Hen Rooster Area</t>
  </si>
  <si>
    <t>ADELL WILDLIFE AREA</t>
  </si>
  <si>
    <t>Sheboygan</t>
  </si>
  <si>
    <t>ALBANY WILDLIFE AREA</t>
  </si>
  <si>
    <t>Green</t>
  </si>
  <si>
    <t>ALLENTON WILDLIFE AREA</t>
  </si>
  <si>
    <t>ALLENTON MARSH WILDLIFE AREA</t>
  </si>
  <si>
    <t>Washington</t>
  </si>
  <si>
    <t>AVON BOTTOMS WILDLIFE AREA</t>
  </si>
  <si>
    <t>Rock</t>
  </si>
  <si>
    <t>BAD FISH CREEK WILDLIFE AREA</t>
  </si>
  <si>
    <t>BADFISH CREEK WILDLIFE AREA</t>
  </si>
  <si>
    <t>Dane</t>
  </si>
  <si>
    <t>BLACKHAWK LAKE RECREATIONAL AREA</t>
  </si>
  <si>
    <t>BLACKHAWK LAKE WILDLIFE AREA</t>
  </si>
  <si>
    <t>BORST VALLEY WILDLIFE AREA</t>
  </si>
  <si>
    <t>Trempealeau</t>
  </si>
  <si>
    <t>BRILLION WILDLIFE AREA</t>
  </si>
  <si>
    <t>Calumet</t>
  </si>
  <si>
    <t>BROOKLYN WILDLIFE AREA</t>
  </si>
  <si>
    <t>C.D. (BUZZ) BESADNY FISH AND WILDLIFE AREA</t>
  </si>
  <si>
    <t>DEANSVILLE WILDLIFE AREA</t>
  </si>
  <si>
    <t>DORN CREEK FISHERY AREA</t>
  </si>
  <si>
    <t>DUNNVILLE WILDLIFE AREA</t>
  </si>
  <si>
    <t>Dunn</t>
  </si>
  <si>
    <t>ELDORADO WILDLIFE AREA</t>
  </si>
  <si>
    <t>Fond Du Lac</t>
  </si>
  <si>
    <t>EVANSVILLE WILDLIFE AREA</t>
  </si>
  <si>
    <t>BLOOMFIELD WILDLIFE AREA - BREVER AND LITCHFIELD ROAD</t>
  </si>
  <si>
    <t>NO</t>
  </si>
  <si>
    <t>TROY WILDLIFE AREA - LAUDERDALE HWY A</t>
  </si>
  <si>
    <t>OCONOMOWOC FISH AND WILDLIFE HABITAT AREA</t>
  </si>
  <si>
    <t>FOOTVILLE WILDLIFE AREA</t>
  </si>
  <si>
    <t>FRENCH CREEK WILDLIFE AREA</t>
  </si>
  <si>
    <t>Columbia</t>
  </si>
  <si>
    <t>GARDNER SWAMP WILDLIFE AREA</t>
  </si>
  <si>
    <t>Door</t>
  </si>
  <si>
    <t>GLACIAL HABITAT RESTORATION AREA (WINNEBAGO)</t>
  </si>
  <si>
    <t>GLACIAL HABITAT RESTORATION - DODGE COUNTY PROPERTIES</t>
  </si>
  <si>
    <t>GLACIAL HABITAT RESTORATION AREA (DODGE)</t>
  </si>
  <si>
    <t>GOOSE LAKE WILDLIFE AREA</t>
  </si>
  <si>
    <t>GRAND RIVER MARSH WILDLIFE AREA</t>
  </si>
  <si>
    <t>Green Lake</t>
  </si>
  <si>
    <t>GRASSY LAKE WILDLIFE AREA</t>
  </si>
  <si>
    <t>GREEN BAY WEST SHORES WILDLIFE AREA</t>
  </si>
  <si>
    <t>Oconto</t>
  </si>
  <si>
    <t>HOLLAND WILDLIFE AREA</t>
  </si>
  <si>
    <t>Brown</t>
  </si>
  <si>
    <t>HONEY CREEK WILDLIFE AREA</t>
  </si>
  <si>
    <t>HOOK LAKE/GRASS LAKE WILDLIFE AND NATURAL AREA</t>
  </si>
  <si>
    <t>HORICON WILDLIFE AREA</t>
  </si>
  <si>
    <t>JACKSON MARSH WILDLIFE AREA</t>
  </si>
  <si>
    <t>JEFFERSON MARSH STATE WILDLIFE AND NATURAL AREA</t>
  </si>
  <si>
    <t>Jefferson</t>
  </si>
  <si>
    <t>KETTLE MORAINE STATE FOREST-NORTHERN UNIT-IANSR</t>
  </si>
  <si>
    <t>KETTLE MORAINE STATE FOREST-SOUTHERN UNIT</t>
  </si>
  <si>
    <t>KICKAPOO VALLEY RESERVE STATE NATURAL AREA</t>
  </si>
  <si>
    <t>Vernon</t>
  </si>
  <si>
    <t>La Forge Unit</t>
  </si>
  <si>
    <t>KICKAPOO WILDLIFE AREA</t>
  </si>
  <si>
    <t>Crawford</t>
  </si>
  <si>
    <t>KILLSNAKE WILDLIFE AREA</t>
  </si>
  <si>
    <t>LAKE MILLS WILDLIFE AREA</t>
  </si>
  <si>
    <t>LAKES COULEE WILDLIFE AREA</t>
  </si>
  <si>
    <t>LIMA MARSH - STORRS LAKE WILDLIFE AREA</t>
  </si>
  <si>
    <t>LODI MARSH WILDLIFE AREA</t>
  </si>
  <si>
    <t>AVOCA UNIT</t>
  </si>
  <si>
    <t>LOWER WISCONSIN STATE RIVERWAY (AVOCA ROD)</t>
  </si>
  <si>
    <t>LOWER WISCONSIN STATE RIVERWAY (WANEK WINWARD)</t>
  </si>
  <si>
    <t>BEILFUSS UNIT</t>
  </si>
  <si>
    <t>LOWER WOLF RIVER BOTTOMLANDS NATURAL RESOURCE AREA</t>
  </si>
  <si>
    <t>MAZOMANIE WILDLIFE AREA</t>
  </si>
  <si>
    <t>MC MILLAN WILDLIFE AREA</t>
  </si>
  <si>
    <t>Marathon</t>
  </si>
  <si>
    <t>MUD LAKE WILDLIFE AREA-COLUMBIA</t>
  </si>
  <si>
    <t>MUD LAKE WILDLIFE AREA-DODGE</t>
  </si>
  <si>
    <t>MULLET CREEK WILDLIFE AREA</t>
  </si>
  <si>
    <t>NAVARINO WILDLIFE AREA</t>
  </si>
  <si>
    <t>NEW MUNSTER WILDLIFE AREA</t>
  </si>
  <si>
    <t>Kenosha</t>
  </si>
  <si>
    <t>NICHOLS CREEK WILDLIFE AREA</t>
  </si>
  <si>
    <t>PARADISE MARSH WILDLIFE AREA</t>
  </si>
  <si>
    <t>PARADISE VALLEY WILDLIFE AREA</t>
  </si>
  <si>
    <t>PETER HELLAND WILDLIFE AREA</t>
  </si>
  <si>
    <t>PINE ISLAND WILDLIFE AREA</t>
  </si>
  <si>
    <t>PRINCES POINT WILDLIFE AREA</t>
  </si>
  <si>
    <t>RICHARD BONG RECREATION AREA</t>
  </si>
  <si>
    <t>RICHARD BONG STATE RECREATION AREA</t>
  </si>
  <si>
    <t>ROME POND WILDLIFE AREA</t>
  </si>
  <si>
    <t>SAUK PRAIRIE RECREATION AREA</t>
  </si>
  <si>
    <t>Sauk</t>
  </si>
  <si>
    <t>NORTHFIELD FISHERY AREA</t>
  </si>
  <si>
    <t>SCATTERED WILDLIFE (NEW)</t>
  </si>
  <si>
    <t>SHAW MARSH WILDLIFE AREA</t>
  </si>
  <si>
    <t>SHEBOYGAN MARSH WILDLIFE AREA</t>
  </si>
  <si>
    <t>SOUTH BEAVER CREEK WILDLIFE AREA</t>
  </si>
  <si>
    <t>STATEWIDE WILDLIFE HABITAT (NEW)</t>
  </si>
  <si>
    <t>STREAM BANK PROTECTION FEE PROGRAM - A</t>
  </si>
  <si>
    <t>STREAM BANK PROTECTION FEE PROGRAM - B</t>
  </si>
  <si>
    <t>TAMARACK CREEK WILDLIFE AREA</t>
  </si>
  <si>
    <t>THERESA WILDLIFE AREA</t>
  </si>
  <si>
    <t>TICHIGAN WILDLIFE AREA</t>
  </si>
  <si>
    <t>TOM LAWIN WILDLIFE AREA</t>
  </si>
  <si>
    <t>TRI-CREEK WATERSHED</t>
  </si>
  <si>
    <t>VERNON WILDLIFE AREA</t>
  </si>
  <si>
    <t>WATERLOO WILDLIFE AREA</t>
  </si>
  <si>
    <t>WHITE RIVER MARSH WILDLIFE AREA</t>
  </si>
  <si>
    <t>WISCONSIN WATERFOWL ASSOCIATION</t>
  </si>
  <si>
    <t>YELLOWSTONE WILDLIFE AREA</t>
  </si>
  <si>
    <t>Lafayette</t>
  </si>
  <si>
    <t>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</si>
</sst>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1"/>
      <color rgb="FF7F7F7F"/>
      <name val="Calibri (Body)"/>
    </font>
    <font>
      <u/>
      <sz val="11"/>
      <color theme="1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theme="3" tint="-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3" fillId="0" borderId="2" applyFill="0" applyAlignment="0" applyProtection="0"/>
    <xf numFmtId="0" fontId="4" fillId="0" borderId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</cellStyleXfs>
  <cellXfs count="29">
    <xf numFmtId="0" fontId="0" fillId="0" borderId="0" xfId="0"/>
    <xf numFmtId="0" fontId="3" fillId="0" borderId="2" xfId="2"/>
    <xf numFmtId="0" fontId="4" fillId="0" borderId="0" xfId="3"/>
    <xf numFmtId="0" fontId="5" fillId="0" borderId="0" xfId="4"/>
    <xf numFmtId="0" fontId="1" fillId="0" borderId="1" xfId="1"/>
    <xf numFmtId="0" fontId="2" fillId="0" borderId="0" xfId="0" applyFont="1" applyAlignment="1">
      <alignment horizontal="left"/>
    </xf>
    <xf numFmtId="0" fontId="2" fillId="0" borderId="0" xfId="0" applyFont="1"/>
    <xf numFmtId="0" fontId="6" fillId="0" borderId="3" xfId="5"/>
    <xf numFmtId="0" fontId="0" fillId="0" borderId="4" xfId="0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0" fillId="0" borderId="4" xfId="0" applyBorder="1"/>
    <xf numFmtId="38" fontId="0" fillId="0" borderId="4" xfId="0" applyNumberFormat="1" applyBorder="1" applyAlignment="1">
      <alignment horizontal="center"/>
    </xf>
    <xf numFmtId="38" fontId="7" fillId="0" borderId="4" xfId="0" applyNumberFormat="1" applyFont="1" applyBorder="1" applyAlignment="1">
      <alignment horizontal="center"/>
    </xf>
    <xf numFmtId="38" fontId="0" fillId="3" borderId="4" xfId="0" applyNumberFormat="1" applyFill="1" applyBorder="1" applyAlignment="1">
      <alignment horizontal="center"/>
    </xf>
    <xf numFmtId="0" fontId="7" fillId="0" borderId="4" xfId="0" applyFont="1" applyBorder="1"/>
    <xf numFmtId="0" fontId="0" fillId="0" borderId="5" xfId="0" applyBorder="1"/>
    <xf numFmtId="0" fontId="5" fillId="0" borderId="0" xfId="4" applyAlignment="1"/>
    <xf numFmtId="0" fontId="5" fillId="0" borderId="0" xfId="4" applyAlignment="1">
      <alignment vertical="center"/>
    </xf>
    <xf numFmtId="0" fontId="2" fillId="0" borderId="4" xfId="0" applyFont="1" applyBorder="1" applyAlignment="1">
      <alignment horizontal="center"/>
    </xf>
    <xf numFmtId="0" fontId="10" fillId="4" borderId="4" xfId="0" applyFont="1" applyFill="1" applyBorder="1" applyAlignment="1">
      <alignment horizontal="center"/>
    </xf>
    <xf numFmtId="22" fontId="11" fillId="4" borderId="4" xfId="0" applyNumberFormat="1" applyFont="1" applyFill="1" applyBorder="1" applyAlignment="1">
      <alignment horizontal="center"/>
    </xf>
    <xf numFmtId="0" fontId="11" fillId="4" borderId="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4" xfId="0" applyFont="1" applyFill="1" applyBorder="1"/>
    <xf numFmtId="38" fontId="0" fillId="0" borderId="4" xfId="0" applyNumberFormat="1" applyFont="1" applyFill="1" applyBorder="1" applyAlignment="1">
      <alignment horizontal="center"/>
    </xf>
  </cellXfs>
  <cellStyles count="6">
    <cellStyle name="Description" xfId="3" xr:uid="{0A298C0D-D23C-4C0B-8604-B26A6E2F0A59}"/>
    <cellStyle name="H1" xfId="2" xr:uid="{2DD56619-09F0-4E8D-87BF-E3581C6BCAE9}"/>
    <cellStyle name="Heading 2" xfId="1" builtinId="17"/>
    <cellStyle name="Heading 3" xfId="5" builtinId="18"/>
    <cellStyle name="Hyperlink" xfId="4" builtinId="8" customBuiltin="1"/>
    <cellStyle name="Normal" xfId="0" builtinId="0"/>
  </cellStyles>
  <dxfs count="16">
    <dxf>
      <numFmt numFmtId="6" formatCode="#,##0_);[Red]\(#,##0\)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8</xdr:col>
      <xdr:colOff>593912</xdr:colOff>
      <xdr:row>34</xdr:row>
      <xdr:rowOff>11206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C8715B2-07F7-3B77-FD3F-92FEB2CD1D6B}"/>
            </a:ext>
          </a:extLst>
        </xdr:cNvPr>
        <xdr:cNvSpPr txBox="1"/>
      </xdr:nvSpPr>
      <xdr:spPr>
        <a:xfrm>
          <a:off x="605118" y="2633382"/>
          <a:ext cx="4829735" cy="40117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2023 Pheasant Stocking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The Wisconsin DNR plans to stock approximately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75,000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pheasants from the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state game farm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on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over 80 properties statewide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Depending on production levels, 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pheasants are released once prior to the pheasant hunting season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then 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twice a week for the first two to three weeks of the season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After that, birds are released about once a week until the 9-day gun deer season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Hunting Season (Pheasant) and Requirements</a:t>
          </a:r>
        </a:p>
        <a:p>
          <a:endParaRPr lang="en-US" sz="1100" b="1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October 14, 2023 (9 AM) through January 7, 2024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Bag Limit is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one rooster per day for opening day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(October 14-15) and 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two roosters per day for the remainder of the season.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Pheasant Hunters need a </a:t>
          </a:r>
          <a:r>
            <a:rPr lang="en-US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valid small game hunting license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2023 Pheasant Stamp</a:t>
          </a:r>
        </a:p>
        <a:p>
          <a:endParaRPr lang="en-US" sz="1100" b="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6665</xdr:colOff>
      <xdr:row>13</xdr:row>
      <xdr:rowOff>11204</xdr:rowOff>
    </xdr:from>
    <xdr:to>
      <xdr:col>17</xdr:col>
      <xdr:colOff>593912</xdr:colOff>
      <xdr:row>33</xdr:row>
      <xdr:rowOff>179293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534B39D-813E-B416-1BF2-A77A3B5BA245}"/>
            </a:ext>
          </a:extLst>
        </xdr:cNvPr>
        <xdr:cNvSpPr txBox="1"/>
      </xdr:nvSpPr>
      <xdr:spPr>
        <a:xfrm>
          <a:off x="5452724" y="2644586"/>
          <a:ext cx="4823070" cy="39780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Fields &amp; Forest Lands Interactive Gamebird Hunting Tool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FFLIGHT)</a:t>
          </a:r>
        </a:p>
        <a:p>
          <a:endParaRPr lang="en-US">
            <a:effectLst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Online map showing properties stocked with pheasants, managed dove fields and suitable cover for ruffed grouse and woodcock. Visit </a:t>
          </a:r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dnr.wi.gov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and search keyword </a:t>
          </a:r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FFLIGHT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 more information.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1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12PM Closure Areas</a:t>
          </a:r>
          <a:endParaRPr lang="en-US">
            <a:effectLst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Properties where pheasant hunting hours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 at 12pm on weekdays beginning the third day of the season and continuing through Nov. 3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endParaRPr lang="en-US">
            <a:effectLst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The remainder of the season and all other properties follow regular small game hunting hours listed in the combined hunting regulations.</a:t>
          </a:r>
          <a:endParaRPr lang="en-US">
            <a:effectLst/>
          </a:endParaRPr>
        </a:p>
        <a:p>
          <a:endParaRPr lang="en-US" sz="11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Hen / Rooster Areas</a:t>
          </a:r>
          <a:endParaRPr lang="en-US">
            <a:effectLst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Properties where the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harvest of both roosters and hens is allowed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The bag limit is one pheasant daily Oct. 14-15 and two pheasants daily for the remainder of the season.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All other properties only allow the harvest of roosters.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  <xdr:twoCellAnchor>
    <xdr:from>
      <xdr:col>19</xdr:col>
      <xdr:colOff>11205</xdr:colOff>
      <xdr:row>13</xdr:row>
      <xdr:rowOff>7844</xdr:rowOff>
    </xdr:from>
    <xdr:to>
      <xdr:col>26</xdr:col>
      <xdr:colOff>605116</xdr:colOff>
      <xdr:row>33</xdr:row>
      <xdr:rowOff>156884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A6EA807-26CE-39DF-A06D-1B660AC92340}"/>
            </a:ext>
          </a:extLst>
        </xdr:cNvPr>
        <xdr:cNvSpPr txBox="1"/>
      </xdr:nvSpPr>
      <xdr:spPr>
        <a:xfrm>
          <a:off x="11508440" y="2641226"/>
          <a:ext cx="4829735" cy="39590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The Day-Old</a:t>
          </a:r>
          <a:r>
            <a:rPr lang="en-US" sz="1100" b="1" baseline="0"/>
            <a:t> Chick (DOC) Program</a:t>
          </a:r>
        </a:p>
        <a:p>
          <a:endParaRPr lang="en-US" sz="1100" b="1" baseline="0"/>
        </a:p>
        <a:p>
          <a:r>
            <a:rPr lang="en-US" sz="1100" b="0" baseline="0"/>
            <a:t>- Program that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allows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conservation clubs to raise and release pheasants on private land open to public hunting or on approved state-owned lands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Hunters are reminded to be polite and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notify landowners before hunting on open private property as part of the DOC program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Visit dnr.wi.gov and search keyword "Game Farm" for more information.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4FF17-2856-4F02-99F3-FB398B24F900}" name="tblProperties" displayName="tblProperties" ref="C23:Q105" totalsRowShown="0" headerRowDxfId="15">
  <autoFilter ref="C23:Q105" xr:uid="{2274FF17-2856-4F02-99F3-FB398B24F900}"/>
  <tableColumns count="15">
    <tableColumn id="1" xr3:uid="{F049B7DE-D32E-44B8-834E-D793B52BC049}" name="Property ID" dataDxfId="14"/>
    <tableColumn id="2" xr3:uid="{E8FC9582-9CAC-4C0F-B44E-21AF3723693B}" name="Property Name" dataDxfId="13"/>
    <tableColumn id="3" xr3:uid="{A7CABEE2-D2B4-4090-84A8-F2FFF4FFE7FB}" name="Alternate Property Name" dataDxfId="4"/>
    <tableColumn id="4" xr3:uid="{852CE7EA-455D-4D6D-BB8A-8ECE8E1221D0}" name="LMS Local Property ID" dataDxfId="3"/>
    <tableColumn id="5" xr3:uid="{773CB26E-A19F-4947-ACAF-AB39D9B92976}" name="County" dataDxfId="2"/>
    <tableColumn id="6" xr3:uid="{EFCB6425-56D2-49A8-9F4E-31C26F6EFB95}" name="Total Hunting Acres" dataDxfId="0"/>
    <tableColumn id="7" xr3:uid="{DB00513C-9FFB-4F95-AAF4-AC26C8DA9C8E}" name="Stocked by DNR" dataDxfId="1"/>
    <tableColumn id="8" xr3:uid="{5B74C01F-B583-4F25-A26C-FD21FEF086E5}" name="Stocked by DOC" dataDxfId="12"/>
    <tableColumn id="9" xr3:uid="{A0604B22-306E-42FA-AEFD-EA120A055557}" name="Proposed Stocking" dataDxfId="11"/>
    <tableColumn id="10" xr3:uid="{6475B1C4-18B6-45B7-BF83-026BF817AE16}" name="Previous Stocking" dataDxfId="10"/>
    <tableColumn id="11" xr3:uid="{898AB204-C6CF-495C-AAA5-13C7A6B81E57}" name="Max Birds per Stocking" dataDxfId="9"/>
    <tableColumn id="12" xr3:uid="{B7C18AA7-DA62-45B5-B34D-E4F7AEFADB62}" name="Map Visibility Flag" dataDxfId="8"/>
    <tableColumn id="13" xr3:uid="{7F66C8A4-ECA1-4734-8A8C-A5CD77DE7644}" name="Closure Restrictions" dataDxfId="7"/>
    <tableColumn id="14" xr3:uid="{56035CC5-D4FA-41D0-B7D1-2B7781342BF0}" name="Hen Rooster Area" dataDxfId="6"/>
    <tableColumn id="15" xr3:uid="{D4C476EC-3BF9-4140-AF94-6375D00A826F}" name="Notes" dataDxfId="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Custom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dnr.wisconsin.gov/topic/lands/gamefarm.html" TargetMode="External"/><Relationship Id="rId2" Type="http://schemas.openxmlformats.org/officeDocument/2006/relationships/hyperlink" Target="https://dnr.wisconsin.gov/topic/Lands/FFLIGHT" TargetMode="External"/><Relationship Id="rId1" Type="http://schemas.openxmlformats.org/officeDocument/2006/relationships/hyperlink" Target="https://apps.dnr.wi.gov/pheasantstocking/Index.aspx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dnr.wisconsin.gov/topic/hunt/pheasant" TargetMode="External"/><Relationship Id="rId18" Type="http://schemas.openxmlformats.org/officeDocument/2006/relationships/hyperlink" Target="https://dnr.wisconsin.gov/maps/AppList" TargetMode="External"/><Relationship Id="rId26" Type="http://schemas.openxmlformats.org/officeDocument/2006/relationships/hyperlink" Target="https://dnr.wisconsin.gov/aid/OnlineSubmissions.html" TargetMode="External"/><Relationship Id="rId39" Type="http://schemas.openxmlformats.org/officeDocument/2006/relationships/hyperlink" Target="https://apps.dnr.wi.gov/pheasantstocking/Index.aspx" TargetMode="External"/><Relationship Id="rId21" Type="http://schemas.openxmlformats.org/officeDocument/2006/relationships/hyperlink" Target="https://experience.arcgis.com/experience/dabc4671b80f4837a7511ca5fcfb7fef" TargetMode="External"/><Relationship Id="rId34" Type="http://schemas.openxmlformats.org/officeDocument/2006/relationships/hyperlink" Target="https://dnr.wisconsin.gov/sites/default/files/topic/Lands/HTML5Help.pdf" TargetMode="External"/><Relationship Id="rId7" Type="http://schemas.openxmlformats.org/officeDocument/2006/relationships/hyperlink" Target="https://wiwf.org/cdnwiwf/" TargetMode="External"/><Relationship Id="rId12" Type="http://schemas.openxmlformats.org/officeDocument/2006/relationships/hyperlink" Target="https://dnr.wisconsin.gov/topic/Lands/FFLIGHT" TargetMode="External"/><Relationship Id="rId17" Type="http://schemas.openxmlformats.org/officeDocument/2006/relationships/hyperlink" Target="https://dnr.wisconsin.gov/topic/hunt/smgame" TargetMode="External"/><Relationship Id="rId25" Type="http://schemas.openxmlformats.org/officeDocument/2006/relationships/hyperlink" Target="https://dnr.wisconsin.gov/aid/projectListsIUPs.html" TargetMode="External"/><Relationship Id="rId33" Type="http://schemas.openxmlformats.org/officeDocument/2006/relationships/hyperlink" Target="https://wiwf.org/cdnwiwf/" TargetMode="External"/><Relationship Id="rId38" Type="http://schemas.openxmlformats.org/officeDocument/2006/relationships/hyperlink" Target="https://widnr.widen.net/s/mvmqkfqdxx/2023-hunting-hours-map" TargetMode="External"/><Relationship Id="rId2" Type="http://schemas.openxmlformats.org/officeDocument/2006/relationships/hyperlink" Target="https://dnr.wisconsin.gov/topic/lands/gamefarm.html" TargetMode="External"/><Relationship Id="rId16" Type="http://schemas.openxmlformats.org/officeDocument/2006/relationships/hyperlink" Target="https://dnr.wisconsin.gov/topic/hunt/dates" TargetMode="External"/><Relationship Id="rId20" Type="http://schemas.openxmlformats.org/officeDocument/2006/relationships/hyperlink" Target="https://widnr.widen.net/s/f6bxdzl5zf/2023-southern-shooting-hours" TargetMode="External"/><Relationship Id="rId29" Type="http://schemas.openxmlformats.org/officeDocument/2006/relationships/hyperlink" Target="https://dnr.wisconsin.gov/contact" TargetMode="External"/><Relationship Id="rId1" Type="http://schemas.openxmlformats.org/officeDocument/2006/relationships/hyperlink" Target="https://widnr.widen.net/s/fjhxhtzq6t/2023-wisconsin-hunting-regulations/" TargetMode="External"/><Relationship Id="rId6" Type="http://schemas.openxmlformats.org/officeDocument/2006/relationships/hyperlink" Target="https://dnr.wisconsin.gov/topic/lands/gamefarm.html" TargetMode="External"/><Relationship Id="rId11" Type="http://schemas.openxmlformats.org/officeDocument/2006/relationships/hyperlink" Target="https://data-wi-dnr.opendata.arcgis.com/" TargetMode="External"/><Relationship Id="rId24" Type="http://schemas.openxmlformats.org/officeDocument/2006/relationships/hyperlink" Target="https://www.google.com/maps/d/viewer?mid=1KGTuQMWan_sZhqab_yua43D0D18ltQYh&amp;ll=44.83201734989358%2C-89.84701949999999&amp;z=7" TargetMode="External"/><Relationship Id="rId32" Type="http://schemas.openxmlformats.org/officeDocument/2006/relationships/hyperlink" Target="https://wiwf.org/cdnwiwf/affiliate-club-membership/" TargetMode="External"/><Relationship Id="rId37" Type="http://schemas.openxmlformats.org/officeDocument/2006/relationships/hyperlink" Target="https://widnr.widen.net/s/lhkrwgc7pd/2023-wisconsin-hunting-and-trapping-season-dates" TargetMode="External"/><Relationship Id="rId5" Type="http://schemas.openxmlformats.org/officeDocument/2006/relationships/hyperlink" Target="https://dnr.wisconsin.gov/about/divisions/externalservices" TargetMode="External"/><Relationship Id="rId15" Type="http://schemas.openxmlformats.org/officeDocument/2006/relationships/hyperlink" Target="https://dnr.wisconsin.gov/topic/Lands/VPA/map.html" TargetMode="External"/><Relationship Id="rId23" Type="http://schemas.openxmlformats.org/officeDocument/2006/relationships/hyperlink" Target="https://www.doj.state.wi.us/office-open-government/office-open-government-resources" TargetMode="External"/><Relationship Id="rId28" Type="http://schemas.openxmlformats.org/officeDocument/2006/relationships/hyperlink" Target="https://dnr.wisconsin.gov/newsroom/contact" TargetMode="External"/><Relationship Id="rId36" Type="http://schemas.openxmlformats.org/officeDocument/2006/relationships/hyperlink" Target="https://dnr.wisconsin.gov/topic/hunt/regulations" TargetMode="External"/><Relationship Id="rId10" Type="http://schemas.openxmlformats.org/officeDocument/2006/relationships/hyperlink" Target="https://wi-dnr-hub.maps.arcgis.com/home/index.html" TargetMode="External"/><Relationship Id="rId19" Type="http://schemas.openxmlformats.org/officeDocument/2006/relationships/hyperlink" Target="https://dnr.wisconsin.gov/topic/StateForests/nhal/maps" TargetMode="External"/><Relationship Id="rId31" Type="http://schemas.openxmlformats.org/officeDocument/2006/relationships/hyperlink" Target="https://dnr.wisconsin.gov/publicinput" TargetMode="External"/><Relationship Id="rId4" Type="http://schemas.openxmlformats.org/officeDocument/2006/relationships/hyperlink" Target="https://dnr.wisconsin.gov/sitemap.xml" TargetMode="External"/><Relationship Id="rId9" Type="http://schemas.openxmlformats.org/officeDocument/2006/relationships/hyperlink" Target="https://github.com/lakecountryhuntclub/dnr-map-data-model" TargetMode="External"/><Relationship Id="rId14" Type="http://schemas.openxmlformats.org/officeDocument/2006/relationships/hyperlink" Target="https://dnr.wisconsin.gov/topic/Lands/VPA" TargetMode="External"/><Relationship Id="rId22" Type="http://schemas.openxmlformats.org/officeDocument/2006/relationships/hyperlink" Target="https://dnr.wisconsin.gov/sites/default/files/topic/Contact/DNR%20Open%20Records%20Coordinator%20Guide.pdf" TargetMode="External"/><Relationship Id="rId27" Type="http://schemas.openxmlformats.org/officeDocument/2006/relationships/hyperlink" Target="https://dnr.wisconsin.gov/sitemap.xml?page=6" TargetMode="External"/><Relationship Id="rId30" Type="http://schemas.openxmlformats.org/officeDocument/2006/relationships/hyperlink" Target="https://dnr.wisconsin.gov/site" TargetMode="External"/><Relationship Id="rId35" Type="http://schemas.openxmlformats.org/officeDocument/2006/relationships/hyperlink" Target="https://gowild.wi.gov/" TargetMode="External"/><Relationship Id="rId8" Type="http://schemas.openxmlformats.org/officeDocument/2006/relationships/hyperlink" Target="https://www.dcffg.org/news-events/pheasant-release" TargetMode="External"/><Relationship Id="rId3" Type="http://schemas.openxmlformats.org/officeDocument/2006/relationships/hyperlink" Target="https://dnr.wisconsin.gov/topic/lands/gamefarm.htm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3AE3D-9421-4F98-B90E-5EEA1CBD0216}">
  <sheetPr codeName="Sheet1">
    <tabColor theme="1"/>
  </sheetPr>
  <dimension ref="A1:E2"/>
  <sheetViews>
    <sheetView zoomScale="85" zoomScaleNormal="85" workbookViewId="0">
      <selection activeCell="F4" sqref="F4"/>
    </sheetView>
  </sheetViews>
  <sheetFormatPr defaultRowHeight="15"/>
  <sheetData>
    <row r="1" spans="1:5" ht="19.5" thickBot="1">
      <c r="A1" s="1" t="s">
        <v>0</v>
      </c>
      <c r="B1" s="1"/>
      <c r="C1" s="1"/>
      <c r="D1" s="1"/>
      <c r="E1" s="1"/>
    </row>
    <row r="2" spans="1:5" ht="15.75" thickTop="1">
      <c r="A2" s="2" t="s">
        <v>1</v>
      </c>
      <c r="B2" s="2"/>
      <c r="C2" s="2"/>
      <c r="D2" s="2"/>
      <c r="E2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097A2-D2F8-46F4-998C-A8A38DA27394}">
  <sheetPr codeName="Sheet2">
    <tabColor theme="4"/>
  </sheetPr>
  <dimension ref="A1:G11"/>
  <sheetViews>
    <sheetView zoomScale="85" zoomScaleNormal="85" workbookViewId="0">
      <selection activeCell="C8" sqref="C8"/>
    </sheetView>
  </sheetViews>
  <sheetFormatPr defaultRowHeight="15"/>
  <cols>
    <col min="2" max="2" width="10.7109375" bestFit="1" customWidth="1"/>
  </cols>
  <sheetData>
    <row r="1" spans="1:7" ht="19.5" thickBot="1">
      <c r="A1" s="1" t="s">
        <v>39</v>
      </c>
      <c r="B1" s="1"/>
      <c r="C1" s="1"/>
      <c r="D1" s="1"/>
      <c r="E1" s="1"/>
      <c r="F1" s="1"/>
      <c r="G1" s="1"/>
    </row>
    <row r="2" spans="1:7" ht="15.75" thickTop="1">
      <c r="A2" s="2" t="s">
        <v>31</v>
      </c>
      <c r="B2" s="2"/>
      <c r="C2" s="2"/>
      <c r="D2" s="2"/>
      <c r="E2" s="2"/>
    </row>
    <row r="5" spans="1:7" ht="18" thickBot="1">
      <c r="B5" s="4" t="s">
        <v>32</v>
      </c>
      <c r="C5" s="4"/>
      <c r="D5" s="4"/>
      <c r="E5" s="4"/>
      <c r="F5" s="4"/>
      <c r="G5" s="4"/>
    </row>
    <row r="6" spans="1:7" ht="15.75" thickTop="1"/>
    <row r="7" spans="1:7">
      <c r="B7" s="3" t="s">
        <v>2</v>
      </c>
      <c r="C7" t="s">
        <v>33</v>
      </c>
    </row>
    <row r="8" spans="1:7">
      <c r="B8" s="3" t="s">
        <v>3</v>
      </c>
      <c r="C8" t="s">
        <v>34</v>
      </c>
    </row>
    <row r="9" spans="1:7">
      <c r="B9" s="3" t="s">
        <v>4</v>
      </c>
      <c r="C9" t="s">
        <v>35</v>
      </c>
    </row>
    <row r="10" spans="1:7">
      <c r="B10" s="3" t="s">
        <v>5</v>
      </c>
      <c r="C10" t="s">
        <v>36</v>
      </c>
    </row>
    <row r="11" spans="1:7">
      <c r="B11" s="3" t="s">
        <v>6</v>
      </c>
      <c r="C11" t="s">
        <v>37</v>
      </c>
    </row>
  </sheetData>
  <hyperlinks>
    <hyperlink ref="B7" location="About!A1" display="About" xr:uid="{B98351E5-74C7-4354-A366-EDDA4050B9B7}"/>
    <hyperlink ref="B8" location="Reference!A1" display="Reference" xr:uid="{7749C460-272F-47F0-903B-1F710D82E035}"/>
    <hyperlink ref="B9" location="Notes!A1" display="Notes" xr:uid="{494BC53E-B838-46C8-9AE8-92EBB1B8B5A2}"/>
    <hyperlink ref="B10" location="Changelog!A1" display="Changelog" xr:uid="{2B7C2761-A104-4D31-AA8E-14DEA50B8ED0}"/>
    <hyperlink ref="B11" location="Inputs!A1" display="Inputs" xr:uid="{1557141E-C256-4064-BC65-4053F8D4D5C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7E821-44EE-448C-9363-695E94DAE7CF}">
  <sheetPr codeName="Sheet3">
    <tabColor theme="4" tint="0.79998168889431442"/>
  </sheetPr>
  <dimension ref="A1:Y12"/>
  <sheetViews>
    <sheetView zoomScale="85" zoomScaleNormal="85" workbookViewId="0">
      <selection activeCell="I12" sqref="I12"/>
    </sheetView>
  </sheetViews>
  <sheetFormatPr defaultRowHeight="15"/>
  <sheetData>
    <row r="1" spans="1:25" ht="19.5" thickBot="1">
      <c r="A1" s="1" t="s">
        <v>2</v>
      </c>
      <c r="B1" s="1"/>
      <c r="C1" s="1"/>
      <c r="D1" s="1"/>
      <c r="E1" s="1"/>
    </row>
    <row r="2" spans="1:25" ht="15.75" thickTop="1">
      <c r="A2" s="2" t="s">
        <v>38</v>
      </c>
      <c r="B2" s="2"/>
      <c r="C2" s="2"/>
      <c r="D2" s="2"/>
      <c r="E2" s="2"/>
    </row>
    <row r="5" spans="1:25" ht="18" thickBot="1">
      <c r="B5" s="4" t="s">
        <v>40</v>
      </c>
      <c r="C5" s="4"/>
      <c r="D5" s="4"/>
      <c r="E5" s="4"/>
      <c r="F5" s="4"/>
      <c r="G5" s="4"/>
      <c r="H5" s="4"/>
      <c r="I5" s="4"/>
      <c r="J5" s="4"/>
    </row>
    <row r="6" spans="1:25" ht="15.75" thickTop="1"/>
    <row r="7" spans="1:25">
      <c r="B7" t="s">
        <v>41</v>
      </c>
    </row>
    <row r="10" spans="1:25" ht="18" thickBot="1">
      <c r="B10" s="4" t="s">
        <v>42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</row>
    <row r="11" spans="1:25" ht="15.75" thickTop="1"/>
    <row r="12" spans="1:25">
      <c r="B12" s="5" t="s">
        <v>43</v>
      </c>
      <c r="C12" s="3" t="s">
        <v>44</v>
      </c>
      <c r="K12" s="5" t="s">
        <v>43</v>
      </c>
      <c r="L12" s="3" t="s">
        <v>45</v>
      </c>
      <c r="T12" s="5" t="s">
        <v>43</v>
      </c>
      <c r="U12" s="3" t="s">
        <v>46</v>
      </c>
    </row>
  </sheetData>
  <hyperlinks>
    <hyperlink ref="C12" r:id="rId1" display="https://apps.dnr.wi.gov/pheasantstocking/Index.aspx" xr:uid="{D4EE36EF-BB44-4305-B495-A55FE5E7A7E8}"/>
    <hyperlink ref="L12" r:id="rId2" display="FIELDS &amp; FOREST LANDS INTERACTIVE GAMEBIRD HUNTING TOOL (FFLIGHT)" xr:uid="{C57D2426-1EF4-4FCD-8B26-179B346C8C61}"/>
    <hyperlink ref="U12" r:id="rId3" xr:uid="{31E82D12-7996-410D-990B-74601D5603A6}"/>
  </hyperlinks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700DC-0300-49C5-9789-4AC7E6CDC435}">
  <sheetPr codeName="Sheet4">
    <tabColor theme="4" tint="0.79998168889431442"/>
  </sheetPr>
  <dimension ref="A1:AA79"/>
  <sheetViews>
    <sheetView zoomScale="85" zoomScaleNormal="85" workbookViewId="0"/>
  </sheetViews>
  <sheetFormatPr defaultRowHeight="15"/>
  <cols>
    <col min="1" max="8" width="12.7109375" customWidth="1"/>
    <col min="9" max="9" width="8.7109375" customWidth="1"/>
    <col min="10" max="15" width="12.7109375" customWidth="1"/>
    <col min="16" max="16" width="8.7109375" customWidth="1"/>
    <col min="17" max="20" width="12.7109375" customWidth="1"/>
    <col min="21" max="21" width="8.7109375" customWidth="1"/>
    <col min="22" max="27" width="12.7109375" customWidth="1"/>
  </cols>
  <sheetData>
    <row r="1" spans="1:27" ht="19.5" thickBot="1">
      <c r="A1" s="1" t="s">
        <v>3</v>
      </c>
      <c r="B1" s="1"/>
      <c r="C1" s="1"/>
      <c r="D1" s="1"/>
      <c r="E1" s="1"/>
      <c r="F1" s="1"/>
      <c r="G1" s="1"/>
      <c r="H1" s="1"/>
    </row>
    <row r="2" spans="1:27" ht="15.75" thickTop="1">
      <c r="A2" s="2" t="s">
        <v>34</v>
      </c>
      <c r="B2" s="2"/>
      <c r="C2" s="2"/>
      <c r="D2" s="2"/>
      <c r="E2" s="2"/>
    </row>
    <row r="5" spans="1:27" ht="18" thickBot="1">
      <c r="B5" s="4" t="s">
        <v>47</v>
      </c>
      <c r="C5" s="4"/>
      <c r="D5" s="4"/>
      <c r="E5" s="4"/>
      <c r="F5" s="4"/>
      <c r="G5" s="4"/>
      <c r="H5" s="4"/>
    </row>
    <row r="6" spans="1:27" ht="15.75" thickTop="1"/>
    <row r="7" spans="1:27">
      <c r="C7" s="3" t="s">
        <v>55</v>
      </c>
      <c r="F7" s="6" t="s">
        <v>121</v>
      </c>
      <c r="G7" s="3" t="s">
        <v>122</v>
      </c>
    </row>
    <row r="8" spans="1:27">
      <c r="C8" t="s">
        <v>104</v>
      </c>
      <c r="G8" s="3" t="s">
        <v>123</v>
      </c>
    </row>
    <row r="9" spans="1:27">
      <c r="G9" s="3" t="s">
        <v>124</v>
      </c>
    </row>
    <row r="10" spans="1:27">
      <c r="G10" s="3" t="s">
        <v>125</v>
      </c>
    </row>
    <row r="13" spans="1:27" ht="15.75" thickBot="1">
      <c r="B13" s="7" t="s">
        <v>69</v>
      </c>
      <c r="C13" s="7"/>
      <c r="D13" s="7"/>
      <c r="E13" s="7"/>
      <c r="F13" s="7"/>
      <c r="G13" s="7"/>
      <c r="H13" s="7"/>
      <c r="J13" s="7" t="s">
        <v>94</v>
      </c>
      <c r="K13" s="7"/>
      <c r="L13" s="7"/>
      <c r="M13" s="7"/>
      <c r="N13" s="7"/>
      <c r="O13" s="7"/>
      <c r="Q13" s="7" t="s">
        <v>126</v>
      </c>
      <c r="R13" s="7"/>
      <c r="S13" s="7"/>
      <c r="T13" s="7"/>
      <c r="V13" s="7" t="s">
        <v>111</v>
      </c>
      <c r="W13" s="7"/>
      <c r="X13" s="7"/>
      <c r="Y13" s="7"/>
      <c r="Z13" s="7"/>
      <c r="AA13" s="7"/>
    </row>
    <row r="15" spans="1:27">
      <c r="C15" s="3" t="s">
        <v>49</v>
      </c>
      <c r="J15" s="3" t="s">
        <v>48</v>
      </c>
      <c r="Q15" s="3" t="s">
        <v>57</v>
      </c>
      <c r="V15" s="3" t="s">
        <v>73</v>
      </c>
    </row>
    <row r="16" spans="1:27">
      <c r="C16" t="s">
        <v>58</v>
      </c>
      <c r="J16" t="s">
        <v>96</v>
      </c>
      <c r="Q16" t="s">
        <v>119</v>
      </c>
    </row>
    <row r="17" spans="3:22">
      <c r="L17" s="3"/>
      <c r="V17" s="3" t="s">
        <v>53</v>
      </c>
    </row>
    <row r="18" spans="3:22">
      <c r="C18" s="3" t="s">
        <v>102</v>
      </c>
      <c r="J18" s="3" t="s">
        <v>97</v>
      </c>
      <c r="Q18" s="3" t="s">
        <v>56</v>
      </c>
    </row>
    <row r="19" spans="3:22">
      <c r="C19" t="s">
        <v>112</v>
      </c>
      <c r="J19" t="s">
        <v>98</v>
      </c>
      <c r="Q19" t="s">
        <v>101</v>
      </c>
      <c r="V19" s="3" t="s">
        <v>54</v>
      </c>
    </row>
    <row r="21" spans="3:22">
      <c r="C21" s="3" t="s">
        <v>59</v>
      </c>
      <c r="J21" s="3" t="s">
        <v>99</v>
      </c>
      <c r="Q21" s="3" t="s">
        <v>61</v>
      </c>
      <c r="V21" s="3" t="s">
        <v>127</v>
      </c>
    </row>
    <row r="22" spans="3:22">
      <c r="C22" t="s">
        <v>103</v>
      </c>
      <c r="J22" t="s">
        <v>116</v>
      </c>
      <c r="Q22" t="s">
        <v>117</v>
      </c>
    </row>
    <row r="23" spans="3:22">
      <c r="V23" s="3" t="s">
        <v>66</v>
      </c>
    </row>
    <row r="24" spans="3:22">
      <c r="C24" s="3" t="s">
        <v>72</v>
      </c>
      <c r="J24" s="3" t="s">
        <v>100</v>
      </c>
      <c r="Q24" s="3" t="s">
        <v>63</v>
      </c>
    </row>
    <row r="25" spans="3:22">
      <c r="C25" t="s">
        <v>70</v>
      </c>
      <c r="J25" t="s">
        <v>105</v>
      </c>
      <c r="Q25" t="s">
        <v>118</v>
      </c>
      <c r="V25" s="3" t="s">
        <v>67</v>
      </c>
    </row>
    <row r="27" spans="3:22">
      <c r="C27" s="3" t="s">
        <v>71</v>
      </c>
      <c r="J27" s="3" t="s">
        <v>62</v>
      </c>
      <c r="Q27" s="3" t="s">
        <v>68</v>
      </c>
    </row>
    <row r="28" spans="3:22">
      <c r="C28" t="s">
        <v>76</v>
      </c>
      <c r="Q28" t="s">
        <v>120</v>
      </c>
    </row>
    <row r="30" spans="3:22">
      <c r="C30" s="3" t="s">
        <v>74</v>
      </c>
    </row>
    <row r="31" spans="3:22">
      <c r="C31" t="s">
        <v>75</v>
      </c>
    </row>
    <row r="33" spans="3:14">
      <c r="C33" s="3" t="s">
        <v>81</v>
      </c>
    </row>
    <row r="34" spans="3:14">
      <c r="C34" t="s">
        <v>83</v>
      </c>
    </row>
    <row r="36" spans="3:14">
      <c r="C36" s="3" t="s">
        <v>64</v>
      </c>
    </row>
    <row r="37" spans="3:14">
      <c r="C37" t="s">
        <v>84</v>
      </c>
    </row>
    <row r="39" spans="3:14">
      <c r="C39" s="3" t="s">
        <v>82</v>
      </c>
    </row>
    <row r="40" spans="3:14">
      <c r="C40" t="s">
        <v>85</v>
      </c>
    </row>
    <row r="42" spans="3:14">
      <c r="C42" s="3" t="s">
        <v>65</v>
      </c>
    </row>
    <row r="43" spans="3:14">
      <c r="C43" t="s">
        <v>86</v>
      </c>
      <c r="N43" s="3"/>
    </row>
    <row r="45" spans="3:14">
      <c r="C45" s="3" t="s">
        <v>51</v>
      </c>
    </row>
    <row r="46" spans="3:14">
      <c r="C46" t="s">
        <v>87</v>
      </c>
      <c r="N46" s="3"/>
    </row>
    <row r="48" spans="3:14">
      <c r="C48" s="3" t="s">
        <v>52</v>
      </c>
    </row>
    <row r="49" spans="3:14">
      <c r="C49" t="s">
        <v>88</v>
      </c>
    </row>
    <row r="51" spans="3:14">
      <c r="C51" s="3" t="s">
        <v>50</v>
      </c>
    </row>
    <row r="52" spans="3:14">
      <c r="C52" t="s">
        <v>89</v>
      </c>
    </row>
    <row r="54" spans="3:14">
      <c r="C54" s="3" t="s">
        <v>77</v>
      </c>
    </row>
    <row r="55" spans="3:14">
      <c r="C55" t="s">
        <v>90</v>
      </c>
    </row>
    <row r="57" spans="3:14">
      <c r="C57" s="3" t="s">
        <v>78</v>
      </c>
      <c r="N57" s="3"/>
    </row>
    <row r="58" spans="3:14">
      <c r="C58" t="s">
        <v>91</v>
      </c>
    </row>
    <row r="60" spans="3:14">
      <c r="C60" s="3" t="s">
        <v>79</v>
      </c>
    </row>
    <row r="61" spans="3:14">
      <c r="C61" t="s">
        <v>92</v>
      </c>
    </row>
    <row r="63" spans="3:14">
      <c r="C63" s="3" t="s">
        <v>80</v>
      </c>
    </row>
    <row r="64" spans="3:14">
      <c r="C64" t="s">
        <v>93</v>
      </c>
    </row>
    <row r="66" spans="3:14">
      <c r="C66" s="3" t="s">
        <v>95</v>
      </c>
    </row>
    <row r="67" spans="3:14">
      <c r="C67" t="s">
        <v>113</v>
      </c>
      <c r="N67" s="3"/>
    </row>
    <row r="69" spans="3:14">
      <c r="C69" s="3" t="s">
        <v>60</v>
      </c>
    </row>
    <row r="70" spans="3:14">
      <c r="C70" t="s">
        <v>114</v>
      </c>
    </row>
    <row r="72" spans="3:14">
      <c r="C72" s="3" t="s">
        <v>110</v>
      </c>
    </row>
    <row r="73" spans="3:14">
      <c r="C73" t="s">
        <v>115</v>
      </c>
    </row>
    <row r="75" spans="3:14">
      <c r="C75" s="3" t="s">
        <v>106</v>
      </c>
    </row>
    <row r="76" spans="3:14">
      <c r="C76" t="s">
        <v>107</v>
      </c>
    </row>
    <row r="78" spans="3:14">
      <c r="C78" s="3" t="s">
        <v>108</v>
      </c>
    </row>
    <row r="79" spans="3:14">
      <c r="C79" t="s">
        <v>109</v>
      </c>
    </row>
  </sheetData>
  <hyperlinks>
    <hyperlink ref="J15" r:id="rId1" xr:uid="{29A3A3EB-1C2E-494C-9CF4-A5AE854CCD26}"/>
    <hyperlink ref="C15" r:id="rId2" xr:uid="{AF641FE1-4941-475F-AEC5-E00DDB238352}"/>
    <hyperlink ref="C51" r:id="rId3" xr:uid="{96C8568D-230B-46FC-9377-2BBE6A7181E7}"/>
    <hyperlink ref="C75" r:id="rId4" xr:uid="{B7677D11-FCCA-4352-A71F-9DFA22E8250F}"/>
    <hyperlink ref="C45" r:id="rId5" xr:uid="{9A14F14D-9E38-4D7F-ADD4-93AC98F966A3}"/>
    <hyperlink ref="C48" r:id="rId6" xr:uid="{8705DCA0-6538-4B0D-AEEF-4C9A4D12EE25}"/>
    <hyperlink ref="V17" r:id="rId7" xr:uid="{92E82DA9-4CB5-4568-859F-6981D4EA1F06}"/>
    <hyperlink ref="V19" r:id="rId8" xr:uid="{8B7D9C51-5CA2-4E20-A3FF-A87BEC3FAB9B}"/>
    <hyperlink ref="C7" r:id="rId9" xr:uid="{DA337338-7887-4D31-AD99-CDEAE542BF2B}"/>
    <hyperlink ref="Q18" r:id="rId10" xr:uid="{B7EB68F9-79B8-480A-85D7-5E5C9B7DAE68}"/>
    <hyperlink ref="Q15" r:id="rId11" xr:uid="{D3ABE9A2-8745-46E5-B589-A561E93255FA}"/>
    <hyperlink ref="C21" r:id="rId12" display="https://dnr.wisconsin.gov/topic/Lands/FFLIGHT" xr:uid="{2C4A0746-9CA3-46FC-BD6E-90BE341308F8}"/>
    <hyperlink ref="C24" r:id="rId13" xr:uid="{B796C6A1-9011-47C7-8476-C93540A16355}"/>
    <hyperlink ref="C66" r:id="rId14" xr:uid="{EB01C9FA-8E26-480F-8F8F-6500371F5769}"/>
    <hyperlink ref="C72" r:id="rId15" xr:uid="{021FAC3D-8187-4199-B54A-A157073A1536}"/>
    <hyperlink ref="C27" r:id="rId16" xr:uid="{1B40E01A-B111-4AD9-88A0-AA9BCC690F74}"/>
    <hyperlink ref="C54" r:id="rId17" xr:uid="{4C69ECD3-A143-4B57-9A49-E9CE533E47CB}"/>
    <hyperlink ref="C57" r:id="rId18" xr:uid="{8B4D87A4-1665-43A0-8A57-6E04A2CA20EF}"/>
    <hyperlink ref="C69" r:id="rId19" xr:uid="{C037CA4D-225A-45EF-92E2-9CC1BEEDDC9A}"/>
    <hyperlink ref="J24" r:id="rId20" xr:uid="{0306A9E7-76D0-4C93-BC97-3B0901026027}"/>
    <hyperlink ref="Q21" r:id="rId21" xr:uid="{FDB80C80-D9C2-458F-892C-D64FF0D7C385}"/>
    <hyperlink ref="J27" r:id="rId22" display="https://dnr.wisconsin.gov/sites/default/files/topic/Contact/DNR Open Records Coordinator Guide.pdf" xr:uid="{67F3D9D5-00D4-4AD8-9E9F-1541C655054E}"/>
    <hyperlink ref="V21" r:id="rId23" xr:uid="{A9CEC09A-378B-479A-AE2A-547727C894D0}"/>
    <hyperlink ref="Q24" r:id="rId24" display="https://www.google.com/maps/d/viewer?mid=1KGTuQMWan_sZhqab_yua43D0D18ltQYh&amp;ll=44.83201734989358%2C-89.84701949999999&amp;z=7" xr:uid="{D9083A0C-344A-4F16-9590-D37D2F0D8078}"/>
    <hyperlink ref="C60" r:id="rId25" location="y2024" xr:uid="{C45BBA4F-99AD-46AE-91A3-C57512C509CE}"/>
    <hyperlink ref="C63" r:id="rId26" xr:uid="{D9215E45-AED9-4A42-A3F8-3392514A595B}"/>
    <hyperlink ref="C78" r:id="rId27" xr:uid="{89B6CA40-DAE2-4EB2-A255-1923172F6848}"/>
    <hyperlink ref="C33" r:id="rId28" xr:uid="{C334D51E-99A5-44EC-88BC-5B8F36EE9845}"/>
    <hyperlink ref="C36" r:id="rId29" display="https://dnr.wisconsin.gov/contact" xr:uid="{2BE04CE1-DAB4-46A2-ACDB-F74B3983A435}"/>
    <hyperlink ref="C39" r:id="rId30" xr:uid="{A6C20C53-7FE4-4A14-A01B-F342138FCA02}"/>
    <hyperlink ref="C42" r:id="rId31" display="https://dnr.wisconsin.gov/publicinput" xr:uid="{29980599-0624-44B8-B817-77F7C08D95FD}"/>
    <hyperlink ref="V23" r:id="rId32" display="https://wiwf.org/cdnwiwf/affiliate-club-membership/" xr:uid="{045A1A9D-4C0C-4424-ABE7-259D0BA3B62E}"/>
    <hyperlink ref="V25" r:id="rId33" display="https://wiwf.org/cdnwiwf/" xr:uid="{4DC76AAB-9EED-4392-8DD5-C8CC15E32FB3}"/>
    <hyperlink ref="Q27" r:id="rId34" display="https://dnr.wisconsin.gov/sites/default/files/topic/Lands/HTML5Help.pdf" xr:uid="{209342FA-94E9-4D8A-8371-546752C0F519}"/>
    <hyperlink ref="V15" r:id="rId35" display="https://gowild.wi.gov/" xr:uid="{F39346E4-DCD1-49BB-9C85-7FD60F22F4EA}"/>
    <hyperlink ref="C30" r:id="rId36" location="tabx4" xr:uid="{94689781-113E-4369-BA53-D75472D65B00}"/>
    <hyperlink ref="J18" r:id="rId37" xr:uid="{403B1F2D-7294-4BCE-A316-7A2DEDA69DF8}"/>
    <hyperlink ref="J21" r:id="rId38" xr:uid="{557E3796-16F4-4C6D-8412-F7A4FC409919}"/>
    <hyperlink ref="C18" r:id="rId39" xr:uid="{E1B9EFBC-8665-4760-87B5-BBA412829CC7}"/>
    <hyperlink ref="G7" location="Reference!B13" display="DNR Links" xr:uid="{FFEB795A-14D1-453A-A29E-74220A018483}"/>
    <hyperlink ref="G8" location="Reference!J13" display="PDF Links" xr:uid="{508DFEAF-2F0E-45A8-BBD1-FBE66D39C13F}"/>
    <hyperlink ref="G9" location="Reference!Q13" display="GIS Links" xr:uid="{4412F83F-B04B-48F9-8227-8531B8BAF847}"/>
    <hyperlink ref="G10" location="Reference!V13" display="Other Relevant Links" xr:uid="{98B3CD2B-EBF3-4A40-A101-8C10A4832D1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51399-D9F8-4C52-8B81-A8C53F01F292}">
  <sheetPr codeName="Sheet5">
    <tabColor theme="4" tint="0.79998168889431442"/>
  </sheetPr>
  <dimension ref="A1:I84"/>
  <sheetViews>
    <sheetView zoomScale="85" zoomScaleNormal="85" workbookViewId="0">
      <selection activeCell="E11" sqref="E11"/>
    </sheetView>
  </sheetViews>
  <sheetFormatPr defaultRowHeight="15"/>
  <cols>
    <col min="2" max="2" width="12.28515625" customWidth="1"/>
    <col min="3" max="3" width="51.42578125" bestFit="1" customWidth="1"/>
    <col min="4" max="4" width="51.5703125" bestFit="1" customWidth="1"/>
    <col min="5" max="5" width="11.7109375" bestFit="1" customWidth="1"/>
    <col min="8" max="8" width="10" bestFit="1" customWidth="1"/>
    <col min="9" max="9" width="123.7109375" customWidth="1"/>
  </cols>
  <sheetData>
    <row r="1" spans="1:9" ht="19.5" thickBot="1">
      <c r="A1" s="1" t="s">
        <v>4</v>
      </c>
      <c r="B1" s="1"/>
      <c r="C1" s="1"/>
      <c r="D1" s="1"/>
      <c r="E1" s="1"/>
      <c r="F1" s="1"/>
      <c r="G1" s="1"/>
      <c r="H1" s="1"/>
    </row>
    <row r="2" spans="1:9" ht="15.75" thickTop="1">
      <c r="A2" s="2" t="s">
        <v>128</v>
      </c>
      <c r="B2" s="2"/>
      <c r="C2" s="2"/>
    </row>
    <row r="5" spans="1:9" ht="18" thickBot="1">
      <c r="B5" s="4" t="s">
        <v>129</v>
      </c>
      <c r="C5" s="4"/>
      <c r="D5" s="4"/>
      <c r="E5" s="4"/>
      <c r="F5" s="4"/>
      <c r="G5" s="4"/>
      <c r="H5" s="4"/>
      <c r="I5" s="4"/>
    </row>
    <row r="6" spans="1:9" ht="15.75" thickTop="1">
      <c r="B6" s="2" t="s">
        <v>130</v>
      </c>
    </row>
    <row r="8" spans="1:9">
      <c r="B8" s="6" t="s">
        <v>132</v>
      </c>
      <c r="C8" t="s">
        <v>131</v>
      </c>
    </row>
    <row r="10" spans="1:9">
      <c r="B10" s="6" t="s">
        <v>121</v>
      </c>
      <c r="C10" s="17" t="s">
        <v>133</v>
      </c>
      <c r="D10" s="16" t="s">
        <v>180</v>
      </c>
    </row>
    <row r="11" spans="1:9">
      <c r="C11" s="16" t="s">
        <v>152</v>
      </c>
      <c r="D11" s="16" t="s">
        <v>190</v>
      </c>
    </row>
    <row r="12" spans="1:9">
      <c r="C12" s="16" t="s">
        <v>161</v>
      </c>
      <c r="D12" s="16" t="s">
        <v>196</v>
      </c>
    </row>
    <row r="13" spans="1:9">
      <c r="C13" s="16" t="s">
        <v>175</v>
      </c>
      <c r="D13" s="16" t="s">
        <v>204</v>
      </c>
    </row>
    <row r="15" spans="1:9">
      <c r="B15" s="15"/>
      <c r="C15" s="15"/>
      <c r="D15" s="15"/>
      <c r="E15" s="15"/>
      <c r="F15" s="15"/>
      <c r="G15" s="15"/>
      <c r="H15" s="15"/>
      <c r="I15" s="15"/>
    </row>
    <row r="17" spans="2:9" ht="15.75" thickBot="1">
      <c r="B17" s="7" t="s">
        <v>133</v>
      </c>
      <c r="C17" s="7"/>
      <c r="D17" s="7"/>
      <c r="E17" s="7"/>
      <c r="F17" s="7"/>
      <c r="G17" s="7"/>
      <c r="H17" s="7"/>
      <c r="I17" s="7"/>
    </row>
    <row r="19" spans="2:9">
      <c r="B19" s="6" t="s">
        <v>139</v>
      </c>
    </row>
    <row r="21" spans="2:9">
      <c r="B21" s="9" t="s">
        <v>134</v>
      </c>
      <c r="C21" s="9" t="s">
        <v>148</v>
      </c>
      <c r="D21" s="9" t="s">
        <v>147</v>
      </c>
      <c r="E21" s="9" t="s">
        <v>140</v>
      </c>
      <c r="F21" s="9" t="s">
        <v>141</v>
      </c>
      <c r="G21" s="9" t="s">
        <v>142</v>
      </c>
      <c r="H21" s="9" t="s">
        <v>143</v>
      </c>
      <c r="I21" s="9" t="s">
        <v>144</v>
      </c>
    </row>
    <row r="22" spans="2:9">
      <c r="B22" s="8">
        <v>10145</v>
      </c>
      <c r="C22" s="8" t="s">
        <v>135</v>
      </c>
      <c r="D22" s="8" t="s">
        <v>136</v>
      </c>
      <c r="E22" s="8" t="s">
        <v>145</v>
      </c>
      <c r="F22" s="11">
        <v>120</v>
      </c>
      <c r="G22" s="11">
        <v>80</v>
      </c>
      <c r="H22" s="11">
        <v>20</v>
      </c>
      <c r="I22" s="10" t="s">
        <v>151</v>
      </c>
    </row>
    <row r="23" spans="2:9">
      <c r="B23" s="8">
        <v>10049</v>
      </c>
      <c r="C23" s="8" t="s">
        <v>135</v>
      </c>
      <c r="D23" s="8" t="s">
        <v>137</v>
      </c>
      <c r="E23" s="8" t="s">
        <v>146</v>
      </c>
      <c r="F23" s="11">
        <v>400</v>
      </c>
      <c r="G23" s="11">
        <v>240</v>
      </c>
      <c r="H23" s="11">
        <v>60</v>
      </c>
      <c r="I23" s="10" t="s">
        <v>149</v>
      </c>
    </row>
    <row r="24" spans="2:9">
      <c r="B24" s="8">
        <v>10107</v>
      </c>
      <c r="C24" s="8" t="s">
        <v>135</v>
      </c>
      <c r="D24" s="8" t="s">
        <v>138</v>
      </c>
      <c r="E24" s="8" t="s">
        <v>146</v>
      </c>
      <c r="F24" s="11">
        <v>200</v>
      </c>
      <c r="G24" s="11">
        <v>120</v>
      </c>
      <c r="H24" s="11">
        <v>20</v>
      </c>
      <c r="I24" s="10" t="s">
        <v>150</v>
      </c>
    </row>
    <row r="26" spans="2:9" ht="15.75" thickBot="1">
      <c r="B26" s="7" t="s">
        <v>152</v>
      </c>
      <c r="C26" s="7"/>
      <c r="D26" s="7"/>
      <c r="E26" s="7"/>
      <c r="F26" s="7"/>
      <c r="G26" s="7"/>
      <c r="H26" s="7"/>
      <c r="I26" s="7"/>
    </row>
    <row r="28" spans="2:9">
      <c r="B28" s="6" t="s">
        <v>153</v>
      </c>
    </row>
    <row r="30" spans="2:9">
      <c r="B30" s="9" t="s">
        <v>134</v>
      </c>
      <c r="C30" s="9" t="s">
        <v>148</v>
      </c>
      <c r="D30" s="9" t="s">
        <v>147</v>
      </c>
      <c r="E30" s="9" t="s">
        <v>140</v>
      </c>
      <c r="F30" s="9" t="s">
        <v>141</v>
      </c>
      <c r="G30" s="9" t="s">
        <v>142</v>
      </c>
      <c r="H30" s="9" t="s">
        <v>143</v>
      </c>
      <c r="I30" s="9" t="s">
        <v>144</v>
      </c>
    </row>
    <row r="31" spans="2:9">
      <c r="B31" s="8">
        <v>7534</v>
      </c>
      <c r="C31" s="8" t="s">
        <v>154</v>
      </c>
      <c r="D31" s="8" t="s">
        <v>155</v>
      </c>
      <c r="E31" s="8" t="s">
        <v>156</v>
      </c>
      <c r="F31" s="11">
        <v>398</v>
      </c>
      <c r="G31" s="11">
        <v>180</v>
      </c>
      <c r="H31" s="11">
        <v>40</v>
      </c>
      <c r="I31" s="10" t="s">
        <v>157</v>
      </c>
    </row>
    <row r="32" spans="2:9">
      <c r="B32" s="8">
        <v>7534</v>
      </c>
      <c r="C32" s="8" t="s">
        <v>154</v>
      </c>
      <c r="D32" s="8" t="s">
        <v>158</v>
      </c>
      <c r="E32" s="8" t="s">
        <v>159</v>
      </c>
      <c r="F32" s="12">
        <v>1500</v>
      </c>
      <c r="G32" s="12">
        <v>770</v>
      </c>
      <c r="H32" s="12">
        <v>180</v>
      </c>
      <c r="I32" s="10" t="s">
        <v>160</v>
      </c>
    </row>
    <row r="34" spans="2:9" ht="15.75" thickBot="1">
      <c r="B34" s="7" t="s">
        <v>161</v>
      </c>
      <c r="C34" s="7"/>
      <c r="D34" s="7"/>
      <c r="E34" s="7"/>
      <c r="F34" s="7"/>
      <c r="G34" s="7"/>
      <c r="H34" s="7"/>
      <c r="I34" s="7"/>
    </row>
    <row r="36" spans="2:9">
      <c r="B36" s="6" t="s">
        <v>162</v>
      </c>
    </row>
    <row r="38" spans="2:9">
      <c r="B38" s="9" t="s">
        <v>134</v>
      </c>
      <c r="C38" s="9" t="s">
        <v>148</v>
      </c>
      <c r="D38" s="9" t="s">
        <v>147</v>
      </c>
      <c r="E38" s="9" t="s">
        <v>140</v>
      </c>
      <c r="F38" s="9" t="s">
        <v>141</v>
      </c>
      <c r="G38" s="9" t="s">
        <v>142</v>
      </c>
      <c r="H38" s="9" t="s">
        <v>143</v>
      </c>
      <c r="I38" s="9" t="s">
        <v>144</v>
      </c>
    </row>
    <row r="39" spans="2:9">
      <c r="B39" s="8">
        <v>10310</v>
      </c>
      <c r="C39" s="8" t="s">
        <v>163</v>
      </c>
      <c r="D39" s="8" t="s">
        <v>164</v>
      </c>
      <c r="E39" s="8" t="s">
        <v>165</v>
      </c>
      <c r="F39" s="11">
        <v>1600</v>
      </c>
      <c r="G39" s="11">
        <v>880</v>
      </c>
      <c r="H39" s="11">
        <v>80</v>
      </c>
      <c r="I39" s="10"/>
    </row>
    <row r="40" spans="2:9">
      <c r="B40" s="8">
        <v>10389</v>
      </c>
      <c r="C40" s="8" t="s">
        <v>163</v>
      </c>
      <c r="D40" s="8" t="s">
        <v>166</v>
      </c>
      <c r="E40" s="8" t="s">
        <v>167</v>
      </c>
      <c r="F40" s="12">
        <v>320</v>
      </c>
      <c r="G40" s="12">
        <v>220</v>
      </c>
      <c r="H40" s="12">
        <v>60</v>
      </c>
      <c r="I40" s="10" t="s">
        <v>168</v>
      </c>
    </row>
    <row r="41" spans="2:9">
      <c r="B41" s="8">
        <v>10305</v>
      </c>
      <c r="C41" s="8" t="s">
        <v>163</v>
      </c>
      <c r="D41" s="8" t="s">
        <v>169</v>
      </c>
      <c r="E41" s="8" t="s">
        <v>170</v>
      </c>
      <c r="F41" s="11">
        <v>2000</v>
      </c>
      <c r="G41" s="11">
        <v>1550</v>
      </c>
      <c r="H41" s="11">
        <v>140</v>
      </c>
      <c r="I41" s="10" t="s">
        <v>171</v>
      </c>
    </row>
    <row r="43" spans="2:9">
      <c r="B43" s="6" t="s">
        <v>172</v>
      </c>
      <c r="C43" t="s">
        <v>173</v>
      </c>
    </row>
    <row r="44" spans="2:9">
      <c r="C44" t="s">
        <v>174</v>
      </c>
    </row>
    <row r="46" spans="2:9" ht="15.75" thickBot="1">
      <c r="B46" s="7" t="s">
        <v>175</v>
      </c>
      <c r="C46" s="7"/>
      <c r="D46" s="7"/>
      <c r="E46" s="7"/>
      <c r="F46" s="7"/>
      <c r="G46" s="7"/>
      <c r="H46" s="7"/>
      <c r="I46" s="7"/>
    </row>
    <row r="48" spans="2:9">
      <c r="B48" s="6" t="s">
        <v>176</v>
      </c>
    </row>
    <row r="50" spans="2:9">
      <c r="B50" s="9" t="s">
        <v>134</v>
      </c>
      <c r="C50" s="9" t="s">
        <v>148</v>
      </c>
      <c r="D50" s="9" t="s">
        <v>147</v>
      </c>
      <c r="E50" s="9" t="s">
        <v>140</v>
      </c>
      <c r="F50" s="9" t="s">
        <v>141</v>
      </c>
      <c r="G50" s="9" t="s">
        <v>142</v>
      </c>
      <c r="H50" s="9" t="s">
        <v>143</v>
      </c>
      <c r="I50" s="9" t="s">
        <v>144</v>
      </c>
    </row>
    <row r="51" spans="2:9">
      <c r="B51" s="8">
        <v>11599</v>
      </c>
      <c r="C51" s="8" t="s">
        <v>175</v>
      </c>
      <c r="D51" s="8" t="s">
        <v>177</v>
      </c>
      <c r="E51" s="8" t="s">
        <v>178</v>
      </c>
      <c r="F51" s="11">
        <v>120</v>
      </c>
      <c r="G51" s="11">
        <v>20</v>
      </c>
      <c r="H51" s="11">
        <v>20</v>
      </c>
      <c r="I51" s="10" t="s">
        <v>179</v>
      </c>
    </row>
    <row r="53" spans="2:9" ht="15.75" thickBot="1">
      <c r="B53" s="7" t="s">
        <v>180</v>
      </c>
      <c r="C53" s="7"/>
      <c r="D53" s="7"/>
      <c r="E53" s="7"/>
      <c r="F53" s="7"/>
      <c r="G53" s="7"/>
      <c r="H53" s="7"/>
      <c r="I53" s="7"/>
    </row>
    <row r="55" spans="2:9">
      <c r="B55" s="6" t="s">
        <v>181</v>
      </c>
    </row>
    <row r="57" spans="2:9">
      <c r="B57" s="9" t="s">
        <v>134</v>
      </c>
      <c r="C57" s="9" t="s">
        <v>148</v>
      </c>
      <c r="D57" s="9" t="s">
        <v>147</v>
      </c>
      <c r="E57" s="9" t="s">
        <v>140</v>
      </c>
      <c r="F57" s="9" t="s">
        <v>141</v>
      </c>
      <c r="G57" s="9" t="s">
        <v>142</v>
      </c>
      <c r="H57" s="9" t="s">
        <v>143</v>
      </c>
      <c r="I57" s="9" t="s">
        <v>144</v>
      </c>
    </row>
    <row r="58" spans="2:9">
      <c r="B58" s="8">
        <v>10243</v>
      </c>
      <c r="C58" s="8" t="s">
        <v>183</v>
      </c>
      <c r="D58" s="8" t="s">
        <v>184</v>
      </c>
      <c r="E58" s="8" t="s">
        <v>185</v>
      </c>
      <c r="F58" s="13"/>
      <c r="G58" s="11">
        <v>280</v>
      </c>
      <c r="H58" s="11">
        <v>60</v>
      </c>
      <c r="I58" s="10" t="s">
        <v>186</v>
      </c>
    </row>
    <row r="59" spans="2:9">
      <c r="B59" s="8">
        <v>10102</v>
      </c>
      <c r="C59" s="8" t="s">
        <v>183</v>
      </c>
      <c r="D59" s="8" t="s">
        <v>187</v>
      </c>
      <c r="E59" s="8" t="s">
        <v>188</v>
      </c>
      <c r="F59" s="11">
        <v>475</v>
      </c>
      <c r="G59" s="11">
        <v>220</v>
      </c>
      <c r="H59" s="11">
        <v>60</v>
      </c>
      <c r="I59" s="10" t="s">
        <v>189</v>
      </c>
    </row>
    <row r="61" spans="2:9">
      <c r="B61" s="6" t="s">
        <v>172</v>
      </c>
      <c r="C61" t="s">
        <v>182</v>
      </c>
    </row>
    <row r="63" spans="2:9" ht="15.75" thickBot="1">
      <c r="B63" s="7" t="s">
        <v>190</v>
      </c>
      <c r="C63" s="7"/>
      <c r="D63" s="7"/>
      <c r="E63" s="7"/>
      <c r="F63" s="7"/>
      <c r="G63" s="7"/>
      <c r="H63" s="7"/>
      <c r="I63" s="7"/>
    </row>
    <row r="65" spans="2:9">
      <c r="B65" s="6" t="s">
        <v>191</v>
      </c>
    </row>
    <row r="67" spans="2:9">
      <c r="B67" s="9" t="s">
        <v>134</v>
      </c>
      <c r="C67" s="9" t="s">
        <v>148</v>
      </c>
      <c r="D67" s="9" t="s">
        <v>147</v>
      </c>
      <c r="E67" s="9" t="s">
        <v>140</v>
      </c>
      <c r="F67" s="9" t="s">
        <v>141</v>
      </c>
      <c r="G67" s="9" t="s">
        <v>142</v>
      </c>
      <c r="H67" s="9" t="s">
        <v>143</v>
      </c>
      <c r="I67" s="9" t="s">
        <v>144</v>
      </c>
    </row>
    <row r="68" spans="2:9">
      <c r="B68" s="8">
        <v>10413</v>
      </c>
      <c r="C68" s="8" t="s">
        <v>192</v>
      </c>
      <c r="D68" s="8" t="s">
        <v>193</v>
      </c>
      <c r="E68" s="8" t="s">
        <v>194</v>
      </c>
      <c r="F68" s="11">
        <v>115</v>
      </c>
      <c r="G68" s="11">
        <v>100</v>
      </c>
      <c r="H68" s="11">
        <v>20</v>
      </c>
      <c r="I68" s="10" t="s">
        <v>195</v>
      </c>
    </row>
    <row r="70" spans="2:9" ht="15.75" thickBot="1">
      <c r="B70" s="7" t="s">
        <v>196</v>
      </c>
      <c r="C70" s="7"/>
      <c r="D70" s="7"/>
      <c r="E70" s="7"/>
      <c r="F70" s="7"/>
      <c r="G70" s="7"/>
      <c r="H70" s="7"/>
      <c r="I70" s="7"/>
    </row>
    <row r="72" spans="2:9">
      <c r="B72" s="6" t="s">
        <v>197</v>
      </c>
    </row>
    <row r="74" spans="2:9">
      <c r="B74" s="9" t="s">
        <v>134</v>
      </c>
      <c r="C74" s="9" t="s">
        <v>148</v>
      </c>
      <c r="D74" s="9" t="s">
        <v>147</v>
      </c>
      <c r="E74" s="9" t="s">
        <v>140</v>
      </c>
      <c r="F74" s="9" t="s">
        <v>141</v>
      </c>
      <c r="G74" s="9" t="s">
        <v>142</v>
      </c>
      <c r="H74" s="9" t="s">
        <v>143</v>
      </c>
      <c r="I74" s="9" t="s">
        <v>144</v>
      </c>
    </row>
    <row r="75" spans="2:9">
      <c r="B75" s="8">
        <v>10217</v>
      </c>
      <c r="C75" s="8" t="s">
        <v>198</v>
      </c>
      <c r="D75" s="8" t="s">
        <v>199</v>
      </c>
      <c r="E75" s="8" t="s">
        <v>200</v>
      </c>
      <c r="F75" s="11">
        <v>70</v>
      </c>
      <c r="G75" s="11">
        <v>60</v>
      </c>
      <c r="H75" s="11">
        <v>60</v>
      </c>
      <c r="I75" s="10" t="s">
        <v>201</v>
      </c>
    </row>
    <row r="76" spans="2:9">
      <c r="B76" s="8">
        <v>10301</v>
      </c>
      <c r="C76" s="8" t="s">
        <v>198</v>
      </c>
      <c r="D76" s="8" t="s">
        <v>202</v>
      </c>
      <c r="E76" s="8" t="s">
        <v>156</v>
      </c>
      <c r="F76" s="11">
        <v>230</v>
      </c>
      <c r="G76" s="11">
        <v>100</v>
      </c>
      <c r="H76" s="11">
        <v>20</v>
      </c>
      <c r="I76" s="14" t="s">
        <v>203</v>
      </c>
    </row>
    <row r="78" spans="2:9" ht="15.75" thickBot="1">
      <c r="B78" s="7" t="s">
        <v>204</v>
      </c>
      <c r="C78" s="7"/>
      <c r="D78" s="7"/>
      <c r="E78" s="7"/>
      <c r="F78" s="7"/>
      <c r="G78" s="7"/>
      <c r="H78" s="7"/>
      <c r="I78" s="7"/>
    </row>
    <row r="80" spans="2:9">
      <c r="B80" s="6" t="s">
        <v>205</v>
      </c>
    </row>
    <row r="82" spans="2:9">
      <c r="B82" s="9" t="s">
        <v>134</v>
      </c>
      <c r="C82" s="9" t="s">
        <v>148</v>
      </c>
      <c r="D82" s="9" t="s">
        <v>147</v>
      </c>
      <c r="E82" s="9" t="s">
        <v>140</v>
      </c>
      <c r="F82" s="9" t="s">
        <v>141</v>
      </c>
      <c r="G82" s="9" t="s">
        <v>142</v>
      </c>
      <c r="H82" s="9" t="s">
        <v>143</v>
      </c>
      <c r="I82" s="9" t="s">
        <v>144</v>
      </c>
    </row>
    <row r="83" spans="2:9">
      <c r="B83" s="8">
        <v>11423</v>
      </c>
      <c r="C83" s="8" t="s">
        <v>206</v>
      </c>
      <c r="D83" s="8" t="s">
        <v>207</v>
      </c>
      <c r="E83" s="8" t="s">
        <v>208</v>
      </c>
      <c r="F83" s="11">
        <v>450</v>
      </c>
      <c r="G83" s="11">
        <v>220</v>
      </c>
      <c r="H83" s="11">
        <v>80</v>
      </c>
      <c r="I83" s="10"/>
    </row>
    <row r="84" spans="2:9">
      <c r="B84" s="8">
        <v>11387</v>
      </c>
      <c r="C84" s="8" t="s">
        <v>206</v>
      </c>
      <c r="D84" s="8" t="s">
        <v>209</v>
      </c>
      <c r="E84" s="8" t="s">
        <v>146</v>
      </c>
      <c r="F84" s="11">
        <v>490</v>
      </c>
      <c r="G84" s="11">
        <v>300</v>
      </c>
      <c r="H84" s="11">
        <v>60</v>
      </c>
      <c r="I84" s="14"/>
    </row>
  </sheetData>
  <hyperlinks>
    <hyperlink ref="C10" location="Notes!B17" display="Extensive WL Habitat" xr:uid="{1EED3DD0-E656-4021-933D-6091FE292C58}"/>
    <hyperlink ref="C11" location="Notes!B26" display="Glacial Habitat Restoration" xr:uid="{51AC3B11-875E-470E-AF1C-AB9E419A42D2}"/>
    <hyperlink ref="C12" location="Notes!B34" display="Lower Wisconsin State Riverway" xr:uid="{98182BAD-883C-49DE-9A19-F7A2714FB403}"/>
    <hyperlink ref="C13" location="Notes!B46" display="Lower Wolf River Bottomlands Natural Resource Area" xr:uid="{EFFF76BC-B493-4740-BE7D-9DED966B8976}"/>
    <hyperlink ref="D10" location="Notes!B53" display="Scattered Wildlife" xr:uid="{8C4FAD23-D0A7-4882-8F79-F6D353A97D5A}"/>
    <hyperlink ref="D11" location="Notes!B63" display="Statewide Habitat Areas" xr:uid="{7554546D-7833-4B05-BABC-08DB820313DB}"/>
    <hyperlink ref="D12" location="Notes!B70" display="Statewide Wildlife Habitat" xr:uid="{D4E0E6A3-F47B-443C-BD93-A4E69B6D4197}"/>
    <hyperlink ref="D13" location="Notes!B78" display="Stream Bank Protection Program" xr:uid="{BD337067-F458-4AB9-84D7-D7493A63432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79F29-3157-4D4A-943D-731B619A42B2}">
  <sheetPr codeName="shChangelog">
    <tabColor theme="4" tint="0.79998168889431442"/>
  </sheetPr>
  <dimension ref="A1:I2"/>
  <sheetViews>
    <sheetView zoomScale="85" zoomScaleNormal="85" workbookViewId="0"/>
  </sheetViews>
  <sheetFormatPr defaultRowHeight="15"/>
  <cols>
    <col min="1" max="1" width="30.42578125" customWidth="1"/>
    <col min="2" max="2" width="10.42578125" bestFit="1" customWidth="1"/>
  </cols>
  <sheetData>
    <row r="1" spans="1:9" ht="19.5" thickBot="1">
      <c r="A1" s="1" t="s">
        <v>5</v>
      </c>
      <c r="B1" s="1"/>
      <c r="C1" s="1"/>
      <c r="D1" s="1"/>
      <c r="E1" s="1"/>
      <c r="F1" s="1"/>
      <c r="G1" s="1"/>
      <c r="H1" s="1"/>
      <c r="I1" s="1"/>
    </row>
    <row r="2" spans="1:9" ht="15.75" thickTop="1">
      <c r="A2" s="2" t="s">
        <v>210</v>
      </c>
      <c r="B2" s="2"/>
      <c r="C2" s="2"/>
      <c r="D2" s="2"/>
      <c r="E2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4EA1-0E04-4353-86AE-F790774E0802}">
  <sheetPr codeName="Sheet7">
    <tabColor theme="4" tint="0.79998168889431442"/>
  </sheetPr>
  <dimension ref="A1:E2"/>
  <sheetViews>
    <sheetView zoomScale="85" zoomScaleNormal="85" workbookViewId="0"/>
  </sheetViews>
  <sheetFormatPr defaultRowHeight="15"/>
  <sheetData>
    <row r="1" spans="1:5" ht="19.5" thickBot="1">
      <c r="A1" s="1" t="s">
        <v>6</v>
      </c>
      <c r="B1" s="1"/>
      <c r="C1" s="1"/>
      <c r="D1" s="1"/>
      <c r="E1" s="1"/>
    </row>
    <row r="2" spans="1:5" ht="15.75" thickTop="1">
      <c r="A2" s="2" t="s">
        <v>7</v>
      </c>
      <c r="B2" s="2"/>
      <c r="C2" s="2"/>
      <c r="D2" s="2"/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0272E-5A0F-48A0-906B-509CDC206355}">
  <sheetPr codeName="Sheet15">
    <tabColor theme="3"/>
  </sheetPr>
  <dimension ref="A1:E2"/>
  <sheetViews>
    <sheetView zoomScale="85" zoomScaleNormal="85" workbookViewId="0"/>
  </sheetViews>
  <sheetFormatPr defaultRowHeight="15"/>
  <sheetData>
    <row r="1" spans="1:5" ht="19.5" thickBot="1">
      <c r="A1" s="1" t="s">
        <v>22</v>
      </c>
      <c r="B1" s="1"/>
      <c r="C1" s="1"/>
      <c r="D1" s="1"/>
      <c r="E1" s="1"/>
    </row>
    <row r="2" spans="1:5" ht="15.75" thickTop="1">
      <c r="A2" s="2" t="s">
        <v>23</v>
      </c>
      <c r="B2" s="2"/>
      <c r="C2" s="2"/>
      <c r="D2" s="2"/>
      <c r="E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534CE-31B4-4E3C-871B-7AAFC3176405}">
  <sheetPr codeName="Sheet16">
    <tabColor theme="3" tint="9.9978637043366805E-2"/>
  </sheetPr>
  <dimension ref="A1:Q105"/>
  <sheetViews>
    <sheetView tabSelected="1" topLeftCell="A12" zoomScale="85" zoomScaleNormal="85" workbookViewId="0">
      <selection activeCell="E27" sqref="E27"/>
    </sheetView>
  </sheetViews>
  <sheetFormatPr defaultRowHeight="15"/>
  <cols>
    <col min="2" max="2" width="19.42578125" customWidth="1"/>
    <col min="3" max="23" width="50.7109375" customWidth="1"/>
  </cols>
  <sheetData>
    <row r="1" spans="1:17" ht="19.5" thickBot="1">
      <c r="A1" s="1" t="s">
        <v>24</v>
      </c>
      <c r="B1" s="1"/>
      <c r="C1" s="1"/>
      <c r="D1" s="1"/>
      <c r="E1" s="1"/>
      <c r="F1" s="1"/>
      <c r="G1" s="1"/>
      <c r="H1" s="1"/>
      <c r="I1" s="1"/>
      <c r="J1" s="1"/>
    </row>
    <row r="2" spans="1:17" ht="15.75" thickTop="1">
      <c r="A2" s="2" t="s">
        <v>211</v>
      </c>
      <c r="B2" s="2"/>
      <c r="C2" s="2"/>
      <c r="D2" s="2"/>
      <c r="E2" s="2"/>
    </row>
    <row r="5" spans="1:17" ht="18" thickBot="1">
      <c r="B5" s="4" t="s">
        <v>212</v>
      </c>
      <c r="C5" s="4"/>
      <c r="D5" s="4"/>
      <c r="E5" s="4"/>
      <c r="F5" s="4"/>
      <c r="G5" s="4"/>
    </row>
    <row r="6" spans="1:17" ht="15.75" thickTop="1"/>
    <row r="7" spans="1:17">
      <c r="B7" s="18" t="s">
        <v>215</v>
      </c>
      <c r="C7" s="19" t="s">
        <v>24</v>
      </c>
    </row>
    <row r="8" spans="1:17">
      <c r="B8" s="18" t="s">
        <v>214</v>
      </c>
      <c r="C8" s="19" t="s">
        <v>218</v>
      </c>
    </row>
    <row r="9" spans="1:17">
      <c r="B9" s="18" t="s">
        <v>213</v>
      </c>
      <c r="C9" s="19" t="s">
        <v>219</v>
      </c>
    </row>
    <row r="10" spans="1:17">
      <c r="B10" s="18" t="s">
        <v>216</v>
      </c>
      <c r="C10" s="20">
        <v>45209.707681250002</v>
      </c>
    </row>
    <row r="11" spans="1:17">
      <c r="B11" s="18" t="s">
        <v>217</v>
      </c>
      <c r="C11" s="21" t="s">
        <v>220</v>
      </c>
    </row>
    <row r="13" spans="1:17" ht="18" thickBot="1">
      <c r="B13" s="4" t="s">
        <v>221</v>
      </c>
      <c r="C13" s="4"/>
      <c r="D13" s="4"/>
    </row>
    <row r="14" spans="1:17" ht="15.75" thickTop="1"/>
    <row r="15" spans="1:17">
      <c r="B15" s="18" t="s">
        <v>222</v>
      </c>
      <c r="C15" s="22">
        <v>1</v>
      </c>
      <c r="D15" s="8">
        <f>C15+1</f>
        <v>2</v>
      </c>
      <c r="E15" s="8">
        <f t="shared" ref="E15:M15" si="0">D15+1</f>
        <v>3</v>
      </c>
      <c r="F15" s="8">
        <f t="shared" si="0"/>
        <v>4</v>
      </c>
      <c r="G15" s="8">
        <f t="shared" si="0"/>
        <v>5</v>
      </c>
      <c r="H15" s="8">
        <f t="shared" si="0"/>
        <v>6</v>
      </c>
      <c r="I15" s="8">
        <f t="shared" si="0"/>
        <v>7</v>
      </c>
      <c r="J15" s="8">
        <f t="shared" si="0"/>
        <v>8</v>
      </c>
      <c r="K15" s="8">
        <f t="shared" si="0"/>
        <v>9</v>
      </c>
      <c r="L15" s="8">
        <f t="shared" si="0"/>
        <v>10</v>
      </c>
      <c r="M15" s="8">
        <f t="shared" si="0"/>
        <v>11</v>
      </c>
      <c r="N15" s="8">
        <f t="shared" ref="N15" si="1">M15+1</f>
        <v>12</v>
      </c>
      <c r="O15" s="8">
        <f t="shared" ref="O15" si="2">N15+1</f>
        <v>13</v>
      </c>
      <c r="P15" s="8">
        <f t="shared" ref="P15" si="3">O15+1</f>
        <v>14</v>
      </c>
      <c r="Q15" s="8">
        <f t="shared" ref="Q15" si="4">P15+1</f>
        <v>15</v>
      </c>
    </row>
    <row r="16" spans="1:17">
      <c r="B16" s="18" t="s">
        <v>224</v>
      </c>
      <c r="C16" s="8" t="str" cm="1">
        <f t="array" ref="C16">CleanColumnName(C17)</f>
        <v>property_id</v>
      </c>
      <c r="D16" s="8" t="str" cm="1">
        <f t="array" ref="D16">CleanColumnName(D17)</f>
        <v>property_name</v>
      </c>
      <c r="E16" s="8" t="str" cm="1">
        <f t="array" ref="E16">CleanColumnName(E17)</f>
        <v>alternate_property_name</v>
      </c>
      <c r="F16" s="8" t="str" cm="1">
        <f t="array" ref="F16">CleanColumnName(F17)</f>
        <v>lms_local_property_id</v>
      </c>
      <c r="G16" s="8" t="str" cm="1">
        <f t="array" ref="G16">CleanColumnName(G17)</f>
        <v>county</v>
      </c>
      <c r="H16" s="8" t="str" cm="1">
        <f t="array" ref="H16">CleanColumnName(H17)</f>
        <v>total_hunting_acres</v>
      </c>
      <c r="I16" s="8" t="str" cm="1">
        <f t="array" ref="I16">CleanColumnName(I17)</f>
        <v>stocked_by_dnr</v>
      </c>
      <c r="J16" s="8" t="str" cm="1">
        <f t="array" ref="J16">CleanColumnName(J17)</f>
        <v>stocked_by_doc</v>
      </c>
      <c r="K16" s="8" t="str" cm="1">
        <f t="array" ref="K16">CleanColumnName(K17)</f>
        <v>proposed_stocking</v>
      </c>
      <c r="L16" s="8" t="str" cm="1">
        <f t="array" ref="L16">CleanColumnName(L17)</f>
        <v>previous_stocking</v>
      </c>
      <c r="M16" s="8" t="str" cm="1">
        <f t="array" ref="M16">CleanColumnName(M17)</f>
        <v>max_birds_per_stocking</v>
      </c>
      <c r="N16" s="8" t="str" cm="1">
        <f t="array" ref="N16">CleanColumnName(N17)</f>
        <v>map_visibility_flag</v>
      </c>
      <c r="O16" s="8" t="str" cm="1">
        <f t="array" ref="O16">CleanColumnName(O17)</f>
        <v>closure_restrictions</v>
      </c>
      <c r="P16" s="8" t="str" cm="1">
        <f t="array" ref="P16">CleanColumnName(P17)</f>
        <v>hen_rooster_area</v>
      </c>
      <c r="Q16" s="8" t="str" cm="1">
        <f t="array" ref="Q16">CleanColumnName(Q17)</f>
        <v>notes</v>
      </c>
    </row>
    <row r="17" spans="2:17">
      <c r="B17" s="18" t="s">
        <v>223</v>
      </c>
      <c r="C17" s="23" t="s">
        <v>226</v>
      </c>
      <c r="D17" s="23" t="s">
        <v>228</v>
      </c>
      <c r="E17" s="23" t="s">
        <v>230</v>
      </c>
      <c r="F17" s="23" t="s">
        <v>231</v>
      </c>
      <c r="G17" s="23" t="s">
        <v>140</v>
      </c>
      <c r="H17" s="23" t="s">
        <v>232</v>
      </c>
      <c r="I17" s="23" t="s">
        <v>233</v>
      </c>
      <c r="J17" s="23" t="s">
        <v>234</v>
      </c>
      <c r="K17" s="23" t="s">
        <v>235</v>
      </c>
      <c r="L17" s="23" t="s">
        <v>236</v>
      </c>
      <c r="M17" s="23" t="s">
        <v>237</v>
      </c>
      <c r="N17" s="23" t="s">
        <v>238</v>
      </c>
      <c r="O17" s="23" t="s">
        <v>239</v>
      </c>
      <c r="P17" s="23" t="s">
        <v>240</v>
      </c>
      <c r="Q17" s="23" t="s">
        <v>4</v>
      </c>
    </row>
    <row r="18" spans="2:17">
      <c r="B18" s="18" t="s">
        <v>225</v>
      </c>
      <c r="C18" s="24" t="s">
        <v>227</v>
      </c>
      <c r="D18" s="24" t="s">
        <v>229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</row>
    <row r="20" spans="2:17" ht="18" thickBot="1">
      <c r="B20" s="4" t="s">
        <v>350</v>
      </c>
      <c r="C20" s="4"/>
      <c r="D20" s="4"/>
      <c r="E20" s="4"/>
      <c r="F20" s="4"/>
      <c r="G20" s="4"/>
    </row>
    <row r="21" spans="2:17" ht="15.75" thickTop="1"/>
    <row r="23" spans="2:17">
      <c r="C23" s="25" t="s">
        <v>226</v>
      </c>
      <c r="D23" s="25" t="s">
        <v>228</v>
      </c>
      <c r="E23" s="25" t="s">
        <v>230</v>
      </c>
      <c r="F23" s="25" t="s">
        <v>231</v>
      </c>
      <c r="G23" s="25" t="s">
        <v>140</v>
      </c>
      <c r="H23" s="25" t="s">
        <v>232</v>
      </c>
      <c r="I23" s="25" t="s">
        <v>233</v>
      </c>
      <c r="J23" s="25" t="s">
        <v>234</v>
      </c>
      <c r="K23" s="25" t="s">
        <v>235</v>
      </c>
      <c r="L23" s="25" t="s">
        <v>236</v>
      </c>
      <c r="M23" s="25" t="s">
        <v>237</v>
      </c>
      <c r="N23" s="25" t="s">
        <v>238</v>
      </c>
      <c r="O23" s="25" t="s">
        <v>239</v>
      </c>
      <c r="P23" s="25" t="s">
        <v>240</v>
      </c>
      <c r="Q23" s="25" t="s">
        <v>4</v>
      </c>
    </row>
    <row r="24" spans="2:17">
      <c r="C24" s="26">
        <v>1</v>
      </c>
      <c r="D24" s="26" t="s">
        <v>241</v>
      </c>
      <c r="E24" s="26"/>
      <c r="F24" s="26">
        <v>7014</v>
      </c>
      <c r="G24" s="26" t="s">
        <v>242</v>
      </c>
      <c r="H24" s="28">
        <v>40</v>
      </c>
      <c r="I24" s="27"/>
      <c r="J24" s="27"/>
      <c r="K24" s="27">
        <v>200</v>
      </c>
      <c r="L24" s="27">
        <v>0</v>
      </c>
      <c r="M24" s="27">
        <v>20</v>
      </c>
      <c r="N24" s="27" t="b">
        <v>1</v>
      </c>
      <c r="O24" s="27"/>
      <c r="P24" s="27"/>
      <c r="Q24" s="27"/>
    </row>
    <row r="25" spans="2:17">
      <c r="C25" s="26">
        <v>2</v>
      </c>
      <c r="D25" s="26" t="s">
        <v>243</v>
      </c>
      <c r="E25" s="26"/>
      <c r="F25" s="26">
        <v>7020</v>
      </c>
      <c r="G25" s="26" t="s">
        <v>244</v>
      </c>
      <c r="H25" s="28">
        <v>1000</v>
      </c>
      <c r="I25" s="27"/>
      <c r="J25" s="27"/>
      <c r="K25" s="27">
        <v>1100</v>
      </c>
      <c r="L25" s="27">
        <v>0</v>
      </c>
      <c r="M25" s="27">
        <v>120</v>
      </c>
      <c r="N25" s="27" t="b">
        <v>1</v>
      </c>
      <c r="O25" s="27"/>
      <c r="P25" s="27"/>
      <c r="Q25" s="27"/>
    </row>
    <row r="26" spans="2:17">
      <c r="C26" s="26">
        <v>3</v>
      </c>
      <c r="D26" s="26" t="s">
        <v>245</v>
      </c>
      <c r="E26" s="26" t="s">
        <v>246</v>
      </c>
      <c r="F26" s="26">
        <v>7030</v>
      </c>
      <c r="G26" s="26" t="s">
        <v>247</v>
      </c>
      <c r="H26" s="28">
        <v>900</v>
      </c>
      <c r="I26" s="27"/>
      <c r="J26" s="27"/>
      <c r="K26" s="27">
        <v>800</v>
      </c>
      <c r="L26" s="27">
        <v>0</v>
      </c>
      <c r="M26" s="27">
        <v>100</v>
      </c>
      <c r="N26" s="27" t="b">
        <v>1</v>
      </c>
      <c r="O26" s="27"/>
      <c r="P26" s="27"/>
      <c r="Q26" s="27"/>
    </row>
    <row r="27" spans="2:17">
      <c r="C27" s="26">
        <v>4</v>
      </c>
      <c r="D27" s="26" t="s">
        <v>248</v>
      </c>
      <c r="E27" s="26"/>
      <c r="F27" s="26">
        <v>7090</v>
      </c>
      <c r="G27" s="26" t="s">
        <v>249</v>
      </c>
      <c r="H27" s="28">
        <v>2000</v>
      </c>
      <c r="I27" s="27"/>
      <c r="J27" s="27"/>
      <c r="K27" s="27">
        <v>1100</v>
      </c>
      <c r="L27" s="27">
        <v>0</v>
      </c>
      <c r="M27" s="27">
        <v>120</v>
      </c>
      <c r="N27" s="27" t="b">
        <v>1</v>
      </c>
      <c r="O27" s="27"/>
      <c r="P27" s="27"/>
      <c r="Q27" s="27"/>
    </row>
    <row r="28" spans="2:17">
      <c r="C28" s="26">
        <v>5</v>
      </c>
      <c r="D28" s="26" t="s">
        <v>250</v>
      </c>
      <c r="E28" s="26" t="s">
        <v>251</v>
      </c>
      <c r="F28" s="26">
        <v>7095</v>
      </c>
      <c r="G28" s="26" t="s">
        <v>252</v>
      </c>
      <c r="H28" s="28">
        <v>1980</v>
      </c>
      <c r="I28" s="27"/>
      <c r="J28" s="27"/>
      <c r="K28" s="27">
        <v>1200</v>
      </c>
      <c r="L28" s="27">
        <v>0</v>
      </c>
      <c r="M28" s="27">
        <v>120</v>
      </c>
      <c r="N28" s="27" t="b">
        <v>1</v>
      </c>
      <c r="O28" s="27"/>
      <c r="P28" s="27"/>
      <c r="Q28" s="27"/>
    </row>
    <row r="29" spans="2:17">
      <c r="C29" s="26">
        <v>6</v>
      </c>
      <c r="D29" s="26" t="s">
        <v>253</v>
      </c>
      <c r="E29" s="26" t="s">
        <v>254</v>
      </c>
      <c r="F29" s="26">
        <v>7170</v>
      </c>
      <c r="G29" s="26" t="s">
        <v>170</v>
      </c>
      <c r="H29" s="28">
        <v>1450</v>
      </c>
      <c r="I29" s="27"/>
      <c r="J29" s="27"/>
      <c r="K29" s="27">
        <v>420</v>
      </c>
      <c r="L29" s="27">
        <v>0</v>
      </c>
      <c r="M29" s="27">
        <v>80</v>
      </c>
      <c r="N29" s="27" t="b">
        <v>1</v>
      </c>
      <c r="O29" s="27"/>
      <c r="P29" s="27"/>
      <c r="Q29" s="27"/>
    </row>
    <row r="30" spans="2:17">
      <c r="C30" s="26">
        <v>7</v>
      </c>
      <c r="D30" s="26" t="s">
        <v>255</v>
      </c>
      <c r="E30" s="26"/>
      <c r="F30" s="26">
        <v>7215</v>
      </c>
      <c r="G30" s="26" t="s">
        <v>256</v>
      </c>
      <c r="H30" s="28">
        <v>0</v>
      </c>
      <c r="I30" s="27"/>
      <c r="J30" s="27"/>
      <c r="K30" s="27">
        <v>160</v>
      </c>
      <c r="L30" s="27">
        <v>0</v>
      </c>
      <c r="M30" s="27">
        <v>0</v>
      </c>
      <c r="N30" s="27" t="b">
        <v>1</v>
      </c>
      <c r="O30" s="27"/>
      <c r="P30" s="27"/>
      <c r="Q30" s="27"/>
    </row>
    <row r="31" spans="2:17">
      <c r="C31" s="26">
        <v>8</v>
      </c>
      <c r="D31" s="26" t="s">
        <v>257</v>
      </c>
      <c r="E31" s="26"/>
      <c r="F31" s="26">
        <v>7240</v>
      </c>
      <c r="G31" s="26" t="s">
        <v>258</v>
      </c>
      <c r="H31" s="28">
        <v>1300</v>
      </c>
      <c r="I31" s="27"/>
      <c r="J31" s="27"/>
      <c r="K31" s="27">
        <v>400</v>
      </c>
      <c r="L31" s="27">
        <v>800</v>
      </c>
      <c r="M31" s="27">
        <v>100</v>
      </c>
      <c r="N31" s="27" t="b">
        <v>1</v>
      </c>
      <c r="O31" s="27"/>
      <c r="P31" s="27"/>
      <c r="Q31" s="27"/>
    </row>
    <row r="32" spans="2:17">
      <c r="C32" s="26">
        <v>9</v>
      </c>
      <c r="D32" s="26" t="s">
        <v>259</v>
      </c>
      <c r="E32" s="26"/>
      <c r="F32" s="26">
        <v>7250</v>
      </c>
      <c r="G32" s="26" t="s">
        <v>252</v>
      </c>
      <c r="H32" s="28">
        <v>3500</v>
      </c>
      <c r="I32" s="27"/>
      <c r="J32" s="27"/>
      <c r="K32" s="27">
        <v>2380</v>
      </c>
      <c r="L32" s="27">
        <v>0</v>
      </c>
      <c r="M32" s="27">
        <v>200</v>
      </c>
      <c r="N32" s="27" t="b">
        <v>1</v>
      </c>
      <c r="O32" s="27"/>
      <c r="P32" s="27"/>
      <c r="Q32" s="27"/>
    </row>
    <row r="33" spans="3:17">
      <c r="C33" s="26">
        <v>10</v>
      </c>
      <c r="D33" s="26" t="s">
        <v>260</v>
      </c>
      <c r="E33" s="26"/>
      <c r="F33" s="26">
        <v>7710</v>
      </c>
      <c r="G33" s="26" t="s">
        <v>200</v>
      </c>
      <c r="H33" s="28">
        <v>750</v>
      </c>
      <c r="I33" s="27"/>
      <c r="J33" s="27"/>
      <c r="K33" s="27">
        <v>420</v>
      </c>
      <c r="L33" s="27">
        <v>440</v>
      </c>
      <c r="M33" s="27">
        <v>40</v>
      </c>
      <c r="N33" s="27" t="b">
        <v>1</v>
      </c>
      <c r="O33" s="27"/>
      <c r="P33" s="27"/>
      <c r="Q33" s="27"/>
    </row>
    <row r="34" spans="3:17">
      <c r="C34" s="26">
        <v>11</v>
      </c>
      <c r="D34" s="26" t="s">
        <v>261</v>
      </c>
      <c r="E34" s="26"/>
      <c r="F34" s="26">
        <v>7370</v>
      </c>
      <c r="G34" s="26" t="s">
        <v>252</v>
      </c>
      <c r="H34" s="28">
        <v>1668</v>
      </c>
      <c r="I34" s="27"/>
      <c r="J34" s="27"/>
      <c r="K34" s="27">
        <v>860</v>
      </c>
      <c r="L34" s="27">
        <v>0</v>
      </c>
      <c r="M34" s="27">
        <v>80</v>
      </c>
      <c r="N34" s="27" t="b">
        <v>1</v>
      </c>
      <c r="O34" s="27"/>
      <c r="P34" s="27"/>
      <c r="Q34" s="27"/>
    </row>
    <row r="35" spans="3:17">
      <c r="C35" s="26">
        <v>12</v>
      </c>
      <c r="D35" s="26" t="s">
        <v>262</v>
      </c>
      <c r="E35" s="26"/>
      <c r="F35" s="26">
        <v>790</v>
      </c>
      <c r="G35" s="26" t="s">
        <v>252</v>
      </c>
      <c r="H35" s="28">
        <v>300</v>
      </c>
      <c r="I35" s="27"/>
      <c r="J35" s="27"/>
      <c r="K35" s="27">
        <v>140</v>
      </c>
      <c r="L35" s="27">
        <v>0</v>
      </c>
      <c r="M35" s="27">
        <v>20</v>
      </c>
      <c r="N35" s="27" t="b">
        <v>1</v>
      </c>
      <c r="O35" s="27"/>
      <c r="P35" s="27"/>
      <c r="Q35" s="27"/>
    </row>
    <row r="36" spans="3:17">
      <c r="C36" s="26">
        <v>13</v>
      </c>
      <c r="D36" s="26" t="s">
        <v>263</v>
      </c>
      <c r="E36" s="26"/>
      <c r="F36" s="26">
        <v>7430</v>
      </c>
      <c r="G36" s="26" t="s">
        <v>264</v>
      </c>
      <c r="H36" s="28">
        <v>1500</v>
      </c>
      <c r="I36" s="27"/>
      <c r="J36" s="27"/>
      <c r="K36" s="27">
        <v>800</v>
      </c>
      <c r="L36" s="27">
        <v>840</v>
      </c>
      <c r="M36" s="27">
        <v>0</v>
      </c>
      <c r="N36" s="27" t="b">
        <v>0</v>
      </c>
      <c r="O36" s="27"/>
      <c r="P36" s="27"/>
      <c r="Q36" s="27"/>
    </row>
    <row r="37" spans="3:17">
      <c r="C37" s="26">
        <v>14</v>
      </c>
      <c r="D37" s="26" t="s">
        <v>265</v>
      </c>
      <c r="E37" s="26"/>
      <c r="F37" s="26">
        <v>7450</v>
      </c>
      <c r="G37" s="26" t="s">
        <v>266</v>
      </c>
      <c r="H37" s="28">
        <v>2800</v>
      </c>
      <c r="I37" s="27"/>
      <c r="J37" s="27"/>
      <c r="K37" s="27">
        <v>1640</v>
      </c>
      <c r="L37" s="27">
        <v>0</v>
      </c>
      <c r="M37" s="27">
        <v>180</v>
      </c>
      <c r="N37" s="27" t="b">
        <v>1</v>
      </c>
      <c r="O37" s="27"/>
      <c r="P37" s="27"/>
      <c r="Q37" s="27"/>
    </row>
    <row r="38" spans="3:17">
      <c r="C38" s="26">
        <v>15</v>
      </c>
      <c r="D38" s="26" t="s">
        <v>267</v>
      </c>
      <c r="E38" s="26"/>
      <c r="F38" s="26">
        <v>7460</v>
      </c>
      <c r="G38" s="26" t="s">
        <v>249</v>
      </c>
      <c r="H38" s="28">
        <v>900</v>
      </c>
      <c r="I38" s="27"/>
      <c r="J38" s="27"/>
      <c r="K38" s="27">
        <v>2000</v>
      </c>
      <c r="L38" s="27">
        <v>0</v>
      </c>
      <c r="M38" s="27">
        <v>180</v>
      </c>
      <c r="N38" s="27" t="b">
        <v>1</v>
      </c>
      <c r="O38" s="27"/>
      <c r="P38" s="27"/>
      <c r="Q38" s="27"/>
    </row>
    <row r="39" spans="3:17">
      <c r="C39" s="26">
        <v>16</v>
      </c>
      <c r="D39" s="26" t="s">
        <v>268</v>
      </c>
      <c r="E39" s="26" t="s">
        <v>135</v>
      </c>
      <c r="F39" s="26">
        <v>10049</v>
      </c>
      <c r="G39" s="26" t="s">
        <v>146</v>
      </c>
      <c r="H39" s="28">
        <v>400</v>
      </c>
      <c r="I39" s="27" t="b">
        <v>1</v>
      </c>
      <c r="J39" s="27" t="b">
        <v>0</v>
      </c>
      <c r="K39" s="27">
        <v>240</v>
      </c>
      <c r="L39" s="27">
        <v>0</v>
      </c>
      <c r="M39" s="27">
        <v>60</v>
      </c>
      <c r="N39" s="27" t="b">
        <v>1</v>
      </c>
      <c r="O39" s="27" t="s">
        <v>269</v>
      </c>
      <c r="P39" s="27" t="s">
        <v>269</v>
      </c>
      <c r="Q39" s="27" t="s">
        <v>149</v>
      </c>
    </row>
    <row r="40" spans="3:17">
      <c r="C40" s="26">
        <v>17</v>
      </c>
      <c r="D40" s="26" t="s">
        <v>270</v>
      </c>
      <c r="E40" s="26" t="s">
        <v>135</v>
      </c>
      <c r="F40" s="26">
        <v>10107</v>
      </c>
      <c r="G40" s="26" t="s">
        <v>146</v>
      </c>
      <c r="H40" s="28">
        <v>200</v>
      </c>
      <c r="I40" s="27" t="b">
        <v>1</v>
      </c>
      <c r="J40" s="27" t="b">
        <v>0</v>
      </c>
      <c r="K40" s="27">
        <v>120</v>
      </c>
      <c r="L40" s="27">
        <v>0</v>
      </c>
      <c r="M40" s="27">
        <v>20</v>
      </c>
      <c r="N40" s="27" t="b">
        <v>1</v>
      </c>
      <c r="O40" s="27" t="s">
        <v>269</v>
      </c>
      <c r="P40" s="27" t="s">
        <v>269</v>
      </c>
      <c r="Q40" s="27" t="s">
        <v>150</v>
      </c>
    </row>
    <row r="41" spans="3:17">
      <c r="C41" s="26">
        <v>18</v>
      </c>
      <c r="D41" s="26" t="s">
        <v>271</v>
      </c>
      <c r="E41" s="26" t="s">
        <v>135</v>
      </c>
      <c r="F41" s="26">
        <v>10145</v>
      </c>
      <c r="G41" s="26" t="s">
        <v>145</v>
      </c>
      <c r="H41" s="28">
        <v>120</v>
      </c>
      <c r="I41" s="27" t="b">
        <v>0</v>
      </c>
      <c r="J41" s="27" t="b">
        <v>1</v>
      </c>
      <c r="K41" s="27">
        <v>80</v>
      </c>
      <c r="L41" s="27">
        <v>0</v>
      </c>
      <c r="M41" s="27">
        <v>20</v>
      </c>
      <c r="N41" s="27" t="b">
        <v>1</v>
      </c>
      <c r="O41" s="27" t="s">
        <v>269</v>
      </c>
      <c r="P41" s="27" t="s">
        <v>269</v>
      </c>
      <c r="Q41" s="27" t="s">
        <v>151</v>
      </c>
    </row>
    <row r="42" spans="3:17">
      <c r="C42" s="26">
        <v>19</v>
      </c>
      <c r="D42" s="26" t="s">
        <v>272</v>
      </c>
      <c r="E42" s="26"/>
      <c r="F42" s="26">
        <v>7494</v>
      </c>
      <c r="G42" s="26" t="s">
        <v>249</v>
      </c>
      <c r="H42" s="28">
        <v>4741</v>
      </c>
      <c r="I42" s="27"/>
      <c r="J42" s="27"/>
      <c r="K42" s="27">
        <v>2000</v>
      </c>
      <c r="L42" s="27">
        <v>0</v>
      </c>
      <c r="M42" s="27">
        <v>180</v>
      </c>
      <c r="N42" s="27" t="b">
        <v>1</v>
      </c>
      <c r="O42" s="27"/>
      <c r="P42" s="27"/>
      <c r="Q42" s="27"/>
    </row>
    <row r="43" spans="3:17">
      <c r="C43" s="26">
        <v>20</v>
      </c>
      <c r="D43" s="26" t="s">
        <v>273</v>
      </c>
      <c r="E43" s="26"/>
      <c r="F43" s="26">
        <v>7510</v>
      </c>
      <c r="G43" s="26" t="s">
        <v>274</v>
      </c>
      <c r="H43" s="28">
        <v>1600</v>
      </c>
      <c r="I43" s="27"/>
      <c r="J43" s="27"/>
      <c r="K43" s="27">
        <v>740</v>
      </c>
      <c r="L43" s="27">
        <v>0</v>
      </c>
      <c r="M43" s="27">
        <v>100</v>
      </c>
      <c r="N43" s="27" t="b">
        <v>1</v>
      </c>
      <c r="O43" s="27"/>
      <c r="P43" s="27"/>
      <c r="Q43" s="27"/>
    </row>
    <row r="44" spans="3:17">
      <c r="C44" s="26">
        <v>21</v>
      </c>
      <c r="D44" s="26" t="s">
        <v>275</v>
      </c>
      <c r="E44" s="26"/>
      <c r="F44" s="26">
        <v>7520</v>
      </c>
      <c r="G44" s="26" t="s">
        <v>276</v>
      </c>
      <c r="H44" s="28">
        <v>200</v>
      </c>
      <c r="I44" s="27"/>
      <c r="J44" s="27"/>
      <c r="K44" s="27">
        <v>40</v>
      </c>
      <c r="L44" s="27">
        <v>40</v>
      </c>
      <c r="M44" s="27">
        <v>40</v>
      </c>
      <c r="N44" s="27" t="b">
        <v>1</v>
      </c>
      <c r="O44" s="27"/>
      <c r="P44" s="27"/>
      <c r="Q44" s="27"/>
    </row>
    <row r="45" spans="3:17">
      <c r="C45" s="26">
        <v>22</v>
      </c>
      <c r="D45" s="26" t="s">
        <v>154</v>
      </c>
      <c r="E45" s="26" t="s">
        <v>277</v>
      </c>
      <c r="F45" s="26">
        <v>7534</v>
      </c>
      <c r="G45" s="26" t="s">
        <v>159</v>
      </c>
      <c r="H45" s="28">
        <v>300</v>
      </c>
      <c r="I45" s="27"/>
      <c r="J45" s="27"/>
      <c r="K45" s="27">
        <v>160</v>
      </c>
      <c r="L45" s="27">
        <v>0</v>
      </c>
      <c r="M45" s="27">
        <v>40</v>
      </c>
      <c r="N45" s="27" t="b">
        <v>1</v>
      </c>
      <c r="O45" s="27"/>
      <c r="P45" s="27"/>
      <c r="Q45" s="27"/>
    </row>
    <row r="46" spans="3:17">
      <c r="C46" s="26">
        <v>23</v>
      </c>
      <c r="D46" s="26" t="s">
        <v>278</v>
      </c>
      <c r="E46" s="26" t="s">
        <v>279</v>
      </c>
      <c r="F46" s="26">
        <v>7535</v>
      </c>
      <c r="G46" s="26" t="s">
        <v>156</v>
      </c>
      <c r="H46" s="28">
        <v>398</v>
      </c>
      <c r="I46" s="27"/>
      <c r="J46" s="27"/>
      <c r="K46" s="27">
        <v>180</v>
      </c>
      <c r="L46" s="27">
        <v>0</v>
      </c>
      <c r="M46" s="27">
        <v>40</v>
      </c>
      <c r="N46" s="27" t="b">
        <v>0</v>
      </c>
      <c r="O46" s="27"/>
      <c r="P46" s="27"/>
      <c r="Q46" s="27"/>
    </row>
    <row r="47" spans="3:17">
      <c r="C47" s="26">
        <v>24</v>
      </c>
      <c r="D47" s="26" t="s">
        <v>280</v>
      </c>
      <c r="E47" s="26"/>
      <c r="F47" s="26">
        <v>7540</v>
      </c>
      <c r="G47" s="26" t="s">
        <v>252</v>
      </c>
      <c r="H47" s="28">
        <v>1450</v>
      </c>
      <c r="I47" s="27"/>
      <c r="J47" s="27"/>
      <c r="K47" s="27">
        <v>960</v>
      </c>
      <c r="L47" s="27">
        <v>0</v>
      </c>
      <c r="M47" s="27">
        <v>80</v>
      </c>
      <c r="N47" s="27" t="b">
        <v>1</v>
      </c>
      <c r="O47" s="27"/>
      <c r="P47" s="27"/>
      <c r="Q47" s="27"/>
    </row>
    <row r="48" spans="3:17">
      <c r="C48" s="26">
        <v>25</v>
      </c>
      <c r="D48" s="26" t="s">
        <v>281</v>
      </c>
      <c r="E48" s="26"/>
      <c r="F48" s="26">
        <v>7550</v>
      </c>
      <c r="G48" s="26" t="s">
        <v>282</v>
      </c>
      <c r="H48" s="28">
        <v>1400</v>
      </c>
      <c r="I48" s="27"/>
      <c r="J48" s="27"/>
      <c r="K48" s="27">
        <v>1100</v>
      </c>
      <c r="L48" s="27">
        <v>0</v>
      </c>
      <c r="M48" s="27">
        <v>120</v>
      </c>
      <c r="N48" s="27" t="b">
        <v>1</v>
      </c>
      <c r="O48" s="27"/>
      <c r="P48" s="27"/>
      <c r="Q48" s="27"/>
    </row>
    <row r="49" spans="3:17">
      <c r="C49" s="26">
        <v>26</v>
      </c>
      <c r="D49" s="26" t="s">
        <v>283</v>
      </c>
      <c r="E49" s="26"/>
      <c r="F49" s="26">
        <v>7560</v>
      </c>
      <c r="G49" s="26" t="s">
        <v>274</v>
      </c>
      <c r="H49" s="28">
        <v>300</v>
      </c>
      <c r="I49" s="27"/>
      <c r="J49" s="27"/>
      <c r="K49" s="27">
        <v>140</v>
      </c>
      <c r="L49" s="27">
        <v>0</v>
      </c>
      <c r="M49" s="27">
        <v>40</v>
      </c>
      <c r="N49" s="27" t="b">
        <v>1</v>
      </c>
      <c r="O49" s="27"/>
      <c r="P49" s="27"/>
      <c r="Q49" s="27"/>
    </row>
    <row r="50" spans="3:17">
      <c r="C50" s="26">
        <v>27</v>
      </c>
      <c r="D50" s="26" t="s">
        <v>284</v>
      </c>
      <c r="E50" s="26" t="s">
        <v>284</v>
      </c>
      <c r="F50" s="26">
        <v>7570</v>
      </c>
      <c r="G50" s="26" t="s">
        <v>285</v>
      </c>
      <c r="H50" s="28">
        <v>140</v>
      </c>
      <c r="I50" s="27"/>
      <c r="J50" s="27"/>
      <c r="K50" s="27">
        <v>0</v>
      </c>
      <c r="L50" s="27">
        <v>0</v>
      </c>
      <c r="M50" s="27">
        <v>100</v>
      </c>
      <c r="N50" s="27" t="b">
        <v>1</v>
      </c>
      <c r="O50" s="27"/>
      <c r="P50" s="27"/>
      <c r="Q50" s="27"/>
    </row>
    <row r="51" spans="3:17">
      <c r="C51" s="26">
        <v>28</v>
      </c>
      <c r="D51" s="26" t="s">
        <v>286</v>
      </c>
      <c r="E51" s="26"/>
      <c r="F51" s="26">
        <v>7620</v>
      </c>
      <c r="G51" s="26" t="s">
        <v>287</v>
      </c>
      <c r="H51" s="28">
        <v>215</v>
      </c>
      <c r="I51" s="27"/>
      <c r="J51" s="27"/>
      <c r="K51" s="27">
        <v>220</v>
      </c>
      <c r="L51" s="27">
        <v>220</v>
      </c>
      <c r="M51" s="27">
        <v>30</v>
      </c>
      <c r="N51" s="27" t="b">
        <v>1</v>
      </c>
      <c r="O51" s="27"/>
      <c r="P51" s="27"/>
      <c r="Q51" s="27"/>
    </row>
    <row r="52" spans="3:17">
      <c r="C52" s="26">
        <v>29</v>
      </c>
      <c r="D52" s="26" t="s">
        <v>288</v>
      </c>
      <c r="E52" s="26"/>
      <c r="F52" s="26">
        <v>7630</v>
      </c>
      <c r="G52" s="26" t="s">
        <v>194</v>
      </c>
      <c r="H52" s="28">
        <v>1000</v>
      </c>
      <c r="I52" s="27"/>
      <c r="J52" s="27"/>
      <c r="K52" s="27">
        <v>640</v>
      </c>
      <c r="L52" s="27">
        <v>0</v>
      </c>
      <c r="M52" s="27">
        <v>60</v>
      </c>
      <c r="N52" s="27" t="b">
        <v>1</v>
      </c>
      <c r="O52" s="27"/>
      <c r="P52" s="27"/>
      <c r="Q52" s="27"/>
    </row>
    <row r="53" spans="3:17">
      <c r="C53" s="26">
        <v>30</v>
      </c>
      <c r="D53" s="26" t="s">
        <v>289</v>
      </c>
      <c r="E53" s="26"/>
      <c r="F53" s="26">
        <v>7640</v>
      </c>
      <c r="G53" s="26" t="s">
        <v>252</v>
      </c>
      <c r="H53" s="28">
        <v>600</v>
      </c>
      <c r="I53" s="27"/>
      <c r="J53" s="27"/>
      <c r="K53" s="27">
        <v>380</v>
      </c>
      <c r="L53" s="27">
        <v>0</v>
      </c>
      <c r="M53" s="27">
        <v>0</v>
      </c>
      <c r="N53" s="27" t="b">
        <v>1</v>
      </c>
      <c r="O53" s="27"/>
      <c r="P53" s="27"/>
      <c r="Q53" s="27"/>
    </row>
    <row r="54" spans="3:17">
      <c r="C54" s="26">
        <v>31</v>
      </c>
      <c r="D54" s="26" t="s">
        <v>290</v>
      </c>
      <c r="E54" s="26"/>
      <c r="F54" s="26">
        <v>7650</v>
      </c>
      <c r="G54" s="26" t="s">
        <v>156</v>
      </c>
      <c r="H54" s="28">
        <v>1000</v>
      </c>
      <c r="I54" s="27"/>
      <c r="J54" s="27"/>
      <c r="K54" s="27">
        <v>1300</v>
      </c>
      <c r="L54" s="27">
        <v>0</v>
      </c>
      <c r="M54" s="27">
        <v>120</v>
      </c>
      <c r="N54" s="27" t="b">
        <v>1</v>
      </c>
      <c r="O54" s="27"/>
      <c r="P54" s="27"/>
      <c r="Q54" s="27"/>
    </row>
    <row r="55" spans="3:17">
      <c r="C55" s="26">
        <v>32</v>
      </c>
      <c r="D55" s="26" t="s">
        <v>291</v>
      </c>
      <c r="E55" s="26"/>
      <c r="F55" s="26">
        <v>7670</v>
      </c>
      <c r="G55" s="26" t="s">
        <v>247</v>
      </c>
      <c r="H55" s="28">
        <v>1100</v>
      </c>
      <c r="I55" s="27"/>
      <c r="J55" s="27"/>
      <c r="K55" s="27">
        <v>1000</v>
      </c>
      <c r="L55" s="27">
        <v>0</v>
      </c>
      <c r="M55" s="27">
        <v>120</v>
      </c>
      <c r="N55" s="27" t="b">
        <v>1</v>
      </c>
      <c r="O55" s="27"/>
      <c r="P55" s="27"/>
      <c r="Q55" s="27"/>
    </row>
    <row r="56" spans="3:17">
      <c r="C56" s="26">
        <v>33</v>
      </c>
      <c r="D56" s="26" t="s">
        <v>292</v>
      </c>
      <c r="E56" s="26"/>
      <c r="F56" s="26">
        <v>7684</v>
      </c>
      <c r="G56" s="26" t="s">
        <v>293</v>
      </c>
      <c r="H56" s="28">
        <v>3700</v>
      </c>
      <c r="I56" s="27"/>
      <c r="J56" s="27"/>
      <c r="K56" s="27">
        <v>1600</v>
      </c>
      <c r="L56" s="27">
        <v>0</v>
      </c>
      <c r="M56" s="27">
        <v>160</v>
      </c>
      <c r="N56" s="27" t="b">
        <v>1</v>
      </c>
      <c r="O56" s="27"/>
      <c r="P56" s="27"/>
      <c r="Q56" s="27"/>
    </row>
    <row r="57" spans="3:17">
      <c r="C57" s="26">
        <v>34</v>
      </c>
      <c r="D57" s="26" t="s">
        <v>294</v>
      </c>
      <c r="E57" s="26"/>
      <c r="F57" s="26">
        <v>9240</v>
      </c>
      <c r="G57" s="26" t="s">
        <v>242</v>
      </c>
      <c r="H57" s="28">
        <v>5200</v>
      </c>
      <c r="I57" s="27"/>
      <c r="J57" s="27"/>
      <c r="K57" s="27">
        <v>2740</v>
      </c>
      <c r="L57" s="27">
        <v>0</v>
      </c>
      <c r="M57" s="27">
        <v>320</v>
      </c>
      <c r="N57" s="27" t="b">
        <v>1</v>
      </c>
      <c r="O57" s="27"/>
      <c r="P57" s="27"/>
      <c r="Q57" s="27"/>
    </row>
    <row r="58" spans="3:17">
      <c r="C58" s="26">
        <v>35</v>
      </c>
      <c r="D58" s="26" t="s">
        <v>295</v>
      </c>
      <c r="E58" s="26"/>
      <c r="F58" s="26">
        <v>9260</v>
      </c>
      <c r="G58" s="26" t="s">
        <v>145</v>
      </c>
      <c r="H58" s="28">
        <v>5000</v>
      </c>
      <c r="I58" s="27"/>
      <c r="J58" s="27"/>
      <c r="K58" s="27">
        <v>3340</v>
      </c>
      <c r="L58" s="27">
        <v>3500</v>
      </c>
      <c r="M58" s="27">
        <v>100</v>
      </c>
      <c r="N58" s="27" t="b">
        <v>1</v>
      </c>
      <c r="O58" s="27"/>
      <c r="P58" s="27"/>
      <c r="Q58" s="27"/>
    </row>
    <row r="59" spans="3:17">
      <c r="C59" s="26">
        <v>36</v>
      </c>
      <c r="D59" s="26" t="s">
        <v>296</v>
      </c>
      <c r="E59" s="26"/>
      <c r="F59" s="26">
        <v>10524</v>
      </c>
      <c r="G59" s="26" t="s">
        <v>297</v>
      </c>
      <c r="H59" s="28">
        <v>7000</v>
      </c>
      <c r="I59" s="27"/>
      <c r="J59" s="27"/>
      <c r="K59" s="27">
        <v>2380</v>
      </c>
      <c r="L59" s="27">
        <v>2530</v>
      </c>
      <c r="M59" s="27">
        <v>320</v>
      </c>
      <c r="N59" s="27" t="b">
        <v>0</v>
      </c>
      <c r="O59" s="27"/>
      <c r="P59" s="27"/>
      <c r="Q59" s="27" t="s">
        <v>298</v>
      </c>
    </row>
    <row r="60" spans="3:17">
      <c r="C60" s="26">
        <v>37</v>
      </c>
      <c r="D60" s="26" t="s">
        <v>299</v>
      </c>
      <c r="E60" s="26"/>
      <c r="F60" s="26">
        <v>7735</v>
      </c>
      <c r="G60" s="26" t="s">
        <v>300</v>
      </c>
      <c r="H60" s="28">
        <v>1300</v>
      </c>
      <c r="I60" s="27"/>
      <c r="J60" s="27"/>
      <c r="K60" s="27">
        <v>500</v>
      </c>
      <c r="L60" s="27">
        <v>720</v>
      </c>
      <c r="M60" s="27">
        <v>100</v>
      </c>
      <c r="N60" s="27" t="b">
        <v>1</v>
      </c>
      <c r="O60" s="27"/>
      <c r="P60" s="27"/>
      <c r="Q60" s="27"/>
    </row>
    <row r="61" spans="3:17">
      <c r="C61" s="26">
        <v>38</v>
      </c>
      <c r="D61" s="26" t="s">
        <v>301</v>
      </c>
      <c r="E61" s="26"/>
      <c r="F61" s="26">
        <v>7740</v>
      </c>
      <c r="G61" s="26" t="s">
        <v>258</v>
      </c>
      <c r="H61" s="28">
        <v>2000</v>
      </c>
      <c r="I61" s="27"/>
      <c r="J61" s="27"/>
      <c r="K61" s="27">
        <v>1120</v>
      </c>
      <c r="L61" s="27">
        <v>1120</v>
      </c>
      <c r="M61" s="27">
        <v>120</v>
      </c>
      <c r="N61" s="27" t="b">
        <v>1</v>
      </c>
      <c r="O61" s="27"/>
      <c r="P61" s="27"/>
      <c r="Q61" s="27"/>
    </row>
    <row r="62" spans="3:17">
      <c r="C62" s="26">
        <v>39</v>
      </c>
      <c r="D62" s="26" t="s">
        <v>302</v>
      </c>
      <c r="E62" s="26"/>
      <c r="F62" s="26">
        <v>7800</v>
      </c>
      <c r="G62" s="26" t="s">
        <v>293</v>
      </c>
      <c r="H62" s="28">
        <v>2950</v>
      </c>
      <c r="I62" s="27"/>
      <c r="J62" s="27"/>
      <c r="K62" s="27">
        <v>1300</v>
      </c>
      <c r="L62" s="27"/>
      <c r="M62" s="27">
        <v>120</v>
      </c>
      <c r="N62" s="27" t="b">
        <v>1</v>
      </c>
      <c r="O62" s="27"/>
      <c r="P62" s="27"/>
      <c r="Q62" s="27"/>
    </row>
    <row r="63" spans="3:17">
      <c r="C63" s="26">
        <v>40</v>
      </c>
      <c r="D63" s="26" t="s">
        <v>303</v>
      </c>
      <c r="E63" s="26"/>
      <c r="F63" s="26">
        <v>7815</v>
      </c>
      <c r="G63" s="26" t="s">
        <v>256</v>
      </c>
      <c r="H63" s="28">
        <v>0</v>
      </c>
      <c r="I63" s="27"/>
      <c r="J63" s="27"/>
      <c r="K63" s="27">
        <v>200</v>
      </c>
      <c r="L63" s="27"/>
      <c r="M63" s="27">
        <v>0</v>
      </c>
      <c r="N63" s="27" t="b">
        <v>1</v>
      </c>
      <c r="O63" s="27"/>
      <c r="P63" s="27"/>
      <c r="Q63" s="27"/>
    </row>
    <row r="64" spans="3:17">
      <c r="C64" s="26">
        <v>41</v>
      </c>
      <c r="D64" s="26" t="s">
        <v>304</v>
      </c>
      <c r="E64" s="26"/>
      <c r="F64" s="26">
        <v>7852</v>
      </c>
      <c r="G64" s="26" t="s">
        <v>249</v>
      </c>
      <c r="H64" s="28">
        <v>895</v>
      </c>
      <c r="I64" s="27"/>
      <c r="J64" s="27"/>
      <c r="K64" s="27">
        <v>1000</v>
      </c>
      <c r="L64" s="27"/>
      <c r="M64" s="27">
        <v>120</v>
      </c>
      <c r="N64" s="27" t="b">
        <v>1</v>
      </c>
      <c r="O64" s="27"/>
      <c r="P64" s="27"/>
      <c r="Q64" s="27"/>
    </row>
    <row r="65" spans="3:17">
      <c r="C65" s="26">
        <v>42</v>
      </c>
      <c r="D65" s="26" t="s">
        <v>305</v>
      </c>
      <c r="E65" s="26"/>
      <c r="F65" s="26">
        <v>7880</v>
      </c>
      <c r="G65" s="26" t="s">
        <v>252</v>
      </c>
      <c r="H65" s="28">
        <v>1140</v>
      </c>
      <c r="I65" s="27"/>
      <c r="J65" s="27"/>
      <c r="K65" s="27">
        <v>600</v>
      </c>
      <c r="L65" s="27"/>
      <c r="M65" s="27">
        <v>40</v>
      </c>
      <c r="N65" s="27" t="b">
        <v>1</v>
      </c>
      <c r="O65" s="27"/>
      <c r="P65" s="27"/>
      <c r="Q65" s="27"/>
    </row>
    <row r="66" spans="3:17">
      <c r="C66" s="26">
        <v>43</v>
      </c>
      <c r="D66" s="26" t="s">
        <v>306</v>
      </c>
      <c r="E66" s="26" t="s">
        <v>307</v>
      </c>
      <c r="F66" s="26">
        <v>10305</v>
      </c>
      <c r="G66" s="26" t="s">
        <v>170</v>
      </c>
      <c r="H66" s="28">
        <v>2000</v>
      </c>
      <c r="I66" s="27"/>
      <c r="J66" s="27"/>
      <c r="K66" s="27">
        <v>1550</v>
      </c>
      <c r="L66" s="27">
        <v>1120</v>
      </c>
      <c r="M66" s="27">
        <v>140</v>
      </c>
      <c r="N66" s="27" t="b">
        <v>0</v>
      </c>
      <c r="O66" s="27"/>
      <c r="P66" s="27"/>
      <c r="Q66" s="27" t="s">
        <v>171</v>
      </c>
    </row>
    <row r="67" spans="3:17">
      <c r="C67" s="26">
        <v>44</v>
      </c>
      <c r="D67" s="26" t="s">
        <v>308</v>
      </c>
      <c r="E67" s="26"/>
      <c r="F67" s="26">
        <v>10389</v>
      </c>
      <c r="G67" s="26"/>
      <c r="H67" s="28">
        <v>120</v>
      </c>
      <c r="I67" s="27"/>
      <c r="J67" s="27"/>
      <c r="K67" s="27">
        <v>100</v>
      </c>
      <c r="L67" s="27"/>
      <c r="M67" s="27">
        <v>20</v>
      </c>
      <c r="N67" s="27" t="b">
        <v>1</v>
      </c>
      <c r="O67" s="27"/>
      <c r="P67" s="27"/>
      <c r="Q67" s="27"/>
    </row>
    <row r="68" spans="3:17">
      <c r="C68" s="26">
        <v>45</v>
      </c>
      <c r="D68" s="26" t="s">
        <v>163</v>
      </c>
      <c r="E68" s="26"/>
      <c r="F68" s="26">
        <v>10310</v>
      </c>
      <c r="G68" s="26"/>
      <c r="H68" s="28">
        <v>1600</v>
      </c>
      <c r="I68" s="27"/>
      <c r="J68" s="27"/>
      <c r="K68" s="27">
        <v>880</v>
      </c>
      <c r="L68" s="27"/>
      <c r="M68" s="27">
        <v>80</v>
      </c>
      <c r="N68" s="27" t="b">
        <v>0</v>
      </c>
      <c r="O68" s="27"/>
      <c r="P68" s="27"/>
      <c r="Q68" s="27"/>
    </row>
    <row r="69" spans="3:17">
      <c r="C69" s="26">
        <v>46</v>
      </c>
      <c r="D69" s="26" t="s">
        <v>309</v>
      </c>
      <c r="E69" s="26" t="s">
        <v>310</v>
      </c>
      <c r="F69" s="26">
        <v>11599</v>
      </c>
      <c r="G69" s="26" t="s">
        <v>178</v>
      </c>
      <c r="H69" s="28">
        <v>120</v>
      </c>
      <c r="I69" s="27"/>
      <c r="J69" s="27"/>
      <c r="K69" s="27">
        <v>20</v>
      </c>
      <c r="L69" s="27"/>
      <c r="M69" s="27">
        <v>20</v>
      </c>
      <c r="N69" s="27" t="b">
        <v>0</v>
      </c>
      <c r="O69" s="27"/>
      <c r="P69" s="27"/>
      <c r="Q69" s="27"/>
    </row>
    <row r="70" spans="3:17">
      <c r="C70" s="26">
        <v>47</v>
      </c>
      <c r="D70" s="26" t="s">
        <v>311</v>
      </c>
      <c r="E70" s="26"/>
      <c r="F70" s="26">
        <v>7970</v>
      </c>
      <c r="G70" s="26" t="s">
        <v>252</v>
      </c>
      <c r="H70" s="28">
        <v>3600</v>
      </c>
      <c r="I70" s="27"/>
      <c r="J70" s="27"/>
      <c r="K70" s="27">
        <v>1860</v>
      </c>
      <c r="L70" s="27"/>
      <c r="M70" s="27">
        <v>200</v>
      </c>
      <c r="N70" s="27" t="b">
        <v>1</v>
      </c>
      <c r="O70" s="27"/>
      <c r="P70" s="27"/>
      <c r="Q70" s="27"/>
    </row>
    <row r="71" spans="3:17">
      <c r="C71" s="26">
        <v>48</v>
      </c>
      <c r="D71" s="26" t="s">
        <v>312</v>
      </c>
      <c r="E71" s="26"/>
      <c r="F71" s="26">
        <v>7990</v>
      </c>
      <c r="G71" s="26" t="s">
        <v>313</v>
      </c>
      <c r="H71" s="28">
        <v>475</v>
      </c>
      <c r="I71" s="27"/>
      <c r="J71" s="27"/>
      <c r="K71" s="27">
        <v>180</v>
      </c>
      <c r="L71" s="27"/>
      <c r="M71" s="27">
        <v>60</v>
      </c>
      <c r="N71" s="27" t="b">
        <v>1</v>
      </c>
      <c r="O71" s="27"/>
      <c r="P71" s="27"/>
      <c r="Q71" s="27"/>
    </row>
    <row r="72" spans="3:17">
      <c r="C72" s="26">
        <v>49</v>
      </c>
      <c r="D72" s="26" t="s">
        <v>314</v>
      </c>
      <c r="E72" s="26"/>
      <c r="F72" s="26">
        <v>8060</v>
      </c>
      <c r="G72" s="26" t="s">
        <v>274</v>
      </c>
      <c r="H72" s="28">
        <v>1300</v>
      </c>
      <c r="I72" s="27"/>
      <c r="J72" s="27"/>
      <c r="K72" s="27">
        <v>780</v>
      </c>
      <c r="L72" s="27"/>
      <c r="M72" s="27">
        <v>80</v>
      </c>
      <c r="N72" s="27" t="b">
        <v>1</v>
      </c>
      <c r="O72" s="27"/>
      <c r="P72" s="27"/>
      <c r="Q72" s="27"/>
    </row>
    <row r="73" spans="3:17">
      <c r="C73" s="26">
        <v>50</v>
      </c>
      <c r="D73" s="26" t="s">
        <v>315</v>
      </c>
      <c r="E73" s="26"/>
      <c r="F73" s="26">
        <v>8070</v>
      </c>
      <c r="G73" s="26" t="s">
        <v>156</v>
      </c>
      <c r="H73" s="28">
        <v>750</v>
      </c>
      <c r="I73" s="27"/>
      <c r="J73" s="27"/>
      <c r="K73" s="27">
        <v>700</v>
      </c>
      <c r="L73" s="27"/>
      <c r="M73" s="27">
        <v>60</v>
      </c>
      <c r="N73" s="27" t="b">
        <v>1</v>
      </c>
      <c r="O73" s="27"/>
      <c r="P73" s="27"/>
      <c r="Q73" s="27"/>
    </row>
    <row r="74" spans="3:17">
      <c r="C74" s="26">
        <v>51</v>
      </c>
      <c r="D74" s="26" t="s">
        <v>316</v>
      </c>
      <c r="E74" s="26"/>
      <c r="F74" s="26">
        <v>8100</v>
      </c>
      <c r="G74" s="26" t="s">
        <v>266</v>
      </c>
      <c r="H74" s="28">
        <v>650</v>
      </c>
      <c r="I74" s="27"/>
      <c r="J74" s="27"/>
      <c r="K74" s="27">
        <v>500</v>
      </c>
      <c r="L74" s="27"/>
      <c r="M74" s="27">
        <v>60</v>
      </c>
      <c r="N74" s="27" t="b">
        <v>1</v>
      </c>
      <c r="O74" s="27"/>
      <c r="P74" s="27"/>
      <c r="Q74" s="27"/>
    </row>
    <row r="75" spans="3:17">
      <c r="C75" s="26">
        <v>52</v>
      </c>
      <c r="D75" s="26" t="s">
        <v>317</v>
      </c>
      <c r="E75" s="26"/>
      <c r="F75" s="26">
        <v>8110</v>
      </c>
      <c r="G75" s="26" t="s">
        <v>178</v>
      </c>
      <c r="H75" s="28">
        <v>500</v>
      </c>
      <c r="I75" s="27"/>
      <c r="J75" s="27"/>
      <c r="K75" s="27">
        <v>140</v>
      </c>
      <c r="L75" s="27"/>
      <c r="M75" s="27">
        <v>140</v>
      </c>
      <c r="N75" s="27" t="b">
        <v>0</v>
      </c>
      <c r="O75" s="27"/>
      <c r="P75" s="27"/>
      <c r="Q75" s="27"/>
    </row>
    <row r="76" spans="3:17">
      <c r="C76" s="26">
        <v>53</v>
      </c>
      <c r="D76" s="26" t="s">
        <v>318</v>
      </c>
      <c r="E76" s="26"/>
      <c r="F76" s="26">
        <v>8130</v>
      </c>
      <c r="G76" s="26" t="s">
        <v>319</v>
      </c>
      <c r="H76" s="28">
        <v>1250</v>
      </c>
      <c r="I76" s="27"/>
      <c r="J76" s="27"/>
      <c r="K76" s="27">
        <v>780</v>
      </c>
      <c r="L76" s="27"/>
      <c r="M76" s="27">
        <v>80</v>
      </c>
      <c r="N76" s="27" t="b">
        <v>1</v>
      </c>
      <c r="O76" s="27"/>
      <c r="P76" s="27"/>
      <c r="Q76" s="27"/>
    </row>
    <row r="77" spans="3:17">
      <c r="C77" s="26">
        <v>54</v>
      </c>
      <c r="D77" s="26" t="s">
        <v>320</v>
      </c>
      <c r="E77" s="26"/>
      <c r="F77" s="26">
        <v>8150</v>
      </c>
      <c r="G77" s="26" t="s">
        <v>242</v>
      </c>
      <c r="H77" s="28">
        <v>210</v>
      </c>
      <c r="I77" s="27"/>
      <c r="J77" s="27"/>
      <c r="K77" s="27">
        <v>300</v>
      </c>
      <c r="L77" s="27"/>
      <c r="M77" s="27">
        <v>70</v>
      </c>
      <c r="N77" s="27" t="b">
        <v>1</v>
      </c>
      <c r="O77" s="27"/>
      <c r="P77" s="27"/>
      <c r="Q77" s="27"/>
    </row>
    <row r="78" spans="3:17">
      <c r="C78" s="26">
        <v>55</v>
      </c>
      <c r="D78" s="26" t="s">
        <v>321</v>
      </c>
      <c r="E78" s="26"/>
      <c r="F78" s="26">
        <v>8170</v>
      </c>
      <c r="G78" s="26" t="s">
        <v>274</v>
      </c>
      <c r="H78" s="28">
        <v>1000</v>
      </c>
      <c r="I78" s="27"/>
      <c r="J78" s="27"/>
      <c r="K78" s="27">
        <v>300</v>
      </c>
      <c r="L78" s="27"/>
      <c r="M78" s="27">
        <v>40</v>
      </c>
      <c r="N78" s="27" t="b">
        <v>1</v>
      </c>
      <c r="O78" s="27"/>
      <c r="P78" s="27"/>
      <c r="Q78" s="27"/>
    </row>
    <row r="79" spans="3:17">
      <c r="C79" s="26">
        <v>56</v>
      </c>
      <c r="D79" s="26" t="s">
        <v>322</v>
      </c>
      <c r="E79" s="26"/>
      <c r="F79" s="26">
        <v>9263</v>
      </c>
      <c r="G79" s="26" t="s">
        <v>145</v>
      </c>
      <c r="H79" s="28">
        <v>275</v>
      </c>
      <c r="I79" s="27"/>
      <c r="J79" s="27"/>
      <c r="K79" s="27">
        <v>340</v>
      </c>
      <c r="L79" s="27"/>
      <c r="M79" s="27">
        <v>60</v>
      </c>
      <c r="N79" s="27" t="b">
        <v>1</v>
      </c>
      <c r="O79" s="27"/>
      <c r="P79" s="27"/>
      <c r="Q79" s="27"/>
    </row>
    <row r="80" spans="3:17">
      <c r="C80" s="26">
        <v>57</v>
      </c>
      <c r="D80" s="26" t="s">
        <v>323</v>
      </c>
      <c r="E80" s="26"/>
      <c r="F80" s="26">
        <v>8600</v>
      </c>
      <c r="G80" s="26" t="s">
        <v>274</v>
      </c>
      <c r="H80" s="28">
        <v>1600</v>
      </c>
      <c r="I80" s="27"/>
      <c r="J80" s="27"/>
      <c r="K80" s="27">
        <v>500</v>
      </c>
      <c r="L80" s="27"/>
      <c r="M80" s="27">
        <v>40</v>
      </c>
      <c r="N80" s="27" t="b">
        <v>1</v>
      </c>
      <c r="O80" s="27"/>
      <c r="P80" s="27"/>
      <c r="Q80" s="27"/>
    </row>
    <row r="81" spans="3:17">
      <c r="C81" s="26">
        <v>58</v>
      </c>
      <c r="D81" s="26" t="s">
        <v>324</v>
      </c>
      <c r="E81" s="26"/>
      <c r="F81" s="26">
        <v>8220</v>
      </c>
      <c r="G81" s="26" t="s">
        <v>274</v>
      </c>
      <c r="H81" s="28">
        <v>2000</v>
      </c>
      <c r="I81" s="27"/>
      <c r="J81" s="27"/>
      <c r="K81" s="27">
        <v>1600</v>
      </c>
      <c r="L81" s="27"/>
      <c r="M81" s="27">
        <v>140</v>
      </c>
      <c r="N81" s="27" t="b">
        <v>1</v>
      </c>
      <c r="O81" s="27"/>
      <c r="P81" s="27"/>
      <c r="Q81" s="27"/>
    </row>
    <row r="82" spans="3:17">
      <c r="C82" s="26">
        <v>59</v>
      </c>
      <c r="D82" s="26" t="s">
        <v>325</v>
      </c>
      <c r="E82" s="26"/>
      <c r="F82" s="26">
        <v>8270</v>
      </c>
      <c r="G82" s="26" t="s">
        <v>293</v>
      </c>
      <c r="H82" s="28">
        <v>1550</v>
      </c>
      <c r="I82" s="27"/>
      <c r="J82" s="27"/>
      <c r="K82" s="27">
        <v>500</v>
      </c>
      <c r="L82" s="27"/>
      <c r="M82" s="27">
        <v>80</v>
      </c>
      <c r="N82" s="27" t="b">
        <v>1</v>
      </c>
      <c r="O82" s="27"/>
      <c r="P82" s="27"/>
      <c r="Q82" s="27"/>
    </row>
    <row r="83" spans="3:17">
      <c r="C83" s="26">
        <v>60</v>
      </c>
      <c r="D83" s="26" t="s">
        <v>326</v>
      </c>
      <c r="E83" s="26" t="s">
        <v>327</v>
      </c>
      <c r="F83" s="26">
        <v>9075</v>
      </c>
      <c r="G83" s="26" t="s">
        <v>319</v>
      </c>
      <c r="H83" s="28">
        <v>3600</v>
      </c>
      <c r="I83" s="27"/>
      <c r="J83" s="27"/>
      <c r="K83" s="27">
        <v>11000</v>
      </c>
      <c r="L83" s="27"/>
      <c r="M83" s="27">
        <v>200</v>
      </c>
      <c r="N83" s="27" t="b">
        <v>1</v>
      </c>
      <c r="O83" s="27"/>
      <c r="P83" s="27"/>
      <c r="Q83" s="27"/>
    </row>
    <row r="84" spans="3:17">
      <c r="C84" s="26">
        <v>61</v>
      </c>
      <c r="D84" s="26" t="s">
        <v>328</v>
      </c>
      <c r="E84" s="26"/>
      <c r="F84" s="26">
        <v>8310</v>
      </c>
      <c r="G84" s="26" t="s">
        <v>293</v>
      </c>
      <c r="H84" s="28">
        <v>1000</v>
      </c>
      <c r="I84" s="27"/>
      <c r="J84" s="27"/>
      <c r="K84" s="27">
        <v>440</v>
      </c>
      <c r="L84" s="27"/>
      <c r="M84" s="27">
        <v>60</v>
      </c>
      <c r="N84" s="27" t="b">
        <v>1</v>
      </c>
      <c r="O84" s="27"/>
      <c r="P84" s="27"/>
      <c r="Q84" s="27"/>
    </row>
    <row r="85" spans="3:17">
      <c r="C85" s="26">
        <v>62</v>
      </c>
      <c r="D85" s="26" t="s">
        <v>329</v>
      </c>
      <c r="E85" s="26"/>
      <c r="F85" s="26">
        <v>9493</v>
      </c>
      <c r="G85" s="26" t="s">
        <v>330</v>
      </c>
      <c r="H85" s="28">
        <v>1000</v>
      </c>
      <c r="I85" s="27"/>
      <c r="J85" s="27"/>
      <c r="K85" s="27">
        <v>640</v>
      </c>
      <c r="L85" s="27"/>
      <c r="M85" s="27">
        <v>100</v>
      </c>
      <c r="N85" s="27" t="b">
        <v>1</v>
      </c>
      <c r="O85" s="27"/>
      <c r="P85" s="27"/>
      <c r="Q85" s="27"/>
    </row>
    <row r="86" spans="3:17">
      <c r="C86" s="26">
        <v>63</v>
      </c>
      <c r="D86" s="26" t="s">
        <v>183</v>
      </c>
      <c r="E86" s="26" t="s">
        <v>331</v>
      </c>
      <c r="F86" s="26">
        <v>10102</v>
      </c>
      <c r="G86" s="26" t="s">
        <v>188</v>
      </c>
      <c r="H86" s="28">
        <v>475</v>
      </c>
      <c r="I86" s="27"/>
      <c r="J86" s="27"/>
      <c r="K86" s="27">
        <v>220</v>
      </c>
      <c r="L86" s="27">
        <v>220</v>
      </c>
      <c r="M86" s="27">
        <v>60</v>
      </c>
      <c r="N86" s="27" t="b">
        <v>1</v>
      </c>
      <c r="O86" s="27"/>
      <c r="P86" s="27"/>
      <c r="Q86" s="27"/>
    </row>
    <row r="87" spans="3:17">
      <c r="C87" s="26">
        <v>64</v>
      </c>
      <c r="D87" s="26" t="s">
        <v>332</v>
      </c>
      <c r="E87" s="26"/>
      <c r="F87" s="26">
        <v>10243</v>
      </c>
      <c r="G87" s="26" t="e">
        <v>#N/A</v>
      </c>
      <c r="H87" s="28">
        <v>0</v>
      </c>
      <c r="I87" s="27"/>
      <c r="J87" s="27"/>
      <c r="K87" s="27">
        <v>280</v>
      </c>
      <c r="L87" s="27"/>
      <c r="M87" s="27">
        <v>60</v>
      </c>
      <c r="N87" s="27" t="b">
        <v>1</v>
      </c>
      <c r="O87" s="27"/>
      <c r="P87" s="27"/>
      <c r="Q87" s="27"/>
    </row>
    <row r="88" spans="3:17">
      <c r="C88" s="26">
        <v>65</v>
      </c>
      <c r="D88" s="26" t="s">
        <v>333</v>
      </c>
      <c r="E88" s="26"/>
      <c r="F88" s="26">
        <v>8550</v>
      </c>
      <c r="G88" s="26" t="s">
        <v>156</v>
      </c>
      <c r="H88" s="28">
        <v>350</v>
      </c>
      <c r="I88" s="27"/>
      <c r="J88" s="27"/>
      <c r="K88" s="27">
        <v>240</v>
      </c>
      <c r="L88" s="27"/>
      <c r="M88" s="27">
        <v>20</v>
      </c>
      <c r="N88" s="27" t="b">
        <v>1</v>
      </c>
      <c r="O88" s="27"/>
      <c r="P88" s="27"/>
      <c r="Q88" s="27"/>
    </row>
    <row r="89" spans="3:17">
      <c r="C89" s="26">
        <v>66</v>
      </c>
      <c r="D89" s="26" t="s">
        <v>334</v>
      </c>
      <c r="E89" s="26"/>
      <c r="F89" s="26">
        <v>8560</v>
      </c>
      <c r="G89" s="26" t="s">
        <v>242</v>
      </c>
      <c r="H89" s="28">
        <v>700</v>
      </c>
      <c r="I89" s="27"/>
      <c r="J89" s="27"/>
      <c r="K89" s="27">
        <v>720</v>
      </c>
      <c r="L89" s="27"/>
      <c r="M89" s="27">
        <v>80</v>
      </c>
      <c r="N89" s="27" t="b">
        <v>1</v>
      </c>
      <c r="O89" s="27"/>
      <c r="P89" s="27"/>
      <c r="Q89" s="27"/>
    </row>
    <row r="90" spans="3:17">
      <c r="C90" s="26">
        <v>67</v>
      </c>
      <c r="D90" s="26" t="s">
        <v>335</v>
      </c>
      <c r="E90" s="26"/>
      <c r="F90" s="26">
        <v>8581</v>
      </c>
      <c r="G90" s="26" t="s">
        <v>188</v>
      </c>
      <c r="H90" s="28">
        <v>500</v>
      </c>
      <c r="I90" s="27"/>
      <c r="J90" s="27"/>
      <c r="K90" s="27">
        <v>200</v>
      </c>
      <c r="L90" s="27">
        <v>200</v>
      </c>
      <c r="M90" s="27">
        <v>60</v>
      </c>
      <c r="N90" s="27" t="b">
        <v>1</v>
      </c>
      <c r="O90" s="27"/>
      <c r="P90" s="27"/>
      <c r="Q90" s="27"/>
    </row>
    <row r="91" spans="3:17">
      <c r="C91" s="26">
        <v>68</v>
      </c>
      <c r="D91" s="26" t="s">
        <v>192</v>
      </c>
      <c r="E91" s="26"/>
      <c r="F91" s="26">
        <v>10413</v>
      </c>
      <c r="G91" s="26" t="e">
        <v>#N/A</v>
      </c>
      <c r="H91" s="28">
        <v>115</v>
      </c>
      <c r="I91" s="27"/>
      <c r="J91" s="27"/>
      <c r="K91" s="27">
        <v>100</v>
      </c>
      <c r="L91" s="27">
        <v>0</v>
      </c>
      <c r="M91" s="27">
        <v>20</v>
      </c>
      <c r="N91" s="27" t="b">
        <v>1</v>
      </c>
      <c r="O91" s="27"/>
      <c r="P91" s="27"/>
      <c r="Q91" s="27"/>
    </row>
    <row r="92" spans="3:17">
      <c r="C92" s="26">
        <v>69</v>
      </c>
      <c r="D92" s="26" t="s">
        <v>198</v>
      </c>
      <c r="E92" s="26"/>
      <c r="F92" s="26">
        <v>10217</v>
      </c>
      <c r="G92" s="26" t="e">
        <v>#N/A</v>
      </c>
      <c r="H92" s="28">
        <v>70</v>
      </c>
      <c r="I92" s="27"/>
      <c r="J92" s="27"/>
      <c r="K92" s="27">
        <v>60</v>
      </c>
      <c r="L92" s="27">
        <v>60</v>
      </c>
      <c r="M92" s="27">
        <v>60</v>
      </c>
      <c r="N92" s="27" t="b">
        <v>1</v>
      </c>
      <c r="O92" s="27"/>
      <c r="P92" s="27"/>
      <c r="Q92" s="27"/>
    </row>
    <row r="93" spans="3:17">
      <c r="C93" s="26">
        <v>70</v>
      </c>
      <c r="D93" s="26" t="s">
        <v>336</v>
      </c>
      <c r="E93" s="26"/>
      <c r="F93" s="26">
        <v>10301</v>
      </c>
      <c r="G93" s="26" t="e">
        <v>#N/A</v>
      </c>
      <c r="H93" s="28">
        <v>230</v>
      </c>
      <c r="I93" s="27"/>
      <c r="J93" s="27"/>
      <c r="K93" s="27">
        <v>100</v>
      </c>
      <c r="L93" s="27">
        <v>0</v>
      </c>
      <c r="M93" s="27">
        <v>20</v>
      </c>
      <c r="N93" s="27" t="b">
        <v>1</v>
      </c>
      <c r="O93" s="27"/>
      <c r="P93" s="27"/>
      <c r="Q93" s="27"/>
    </row>
    <row r="94" spans="3:17">
      <c r="C94" s="26">
        <v>71</v>
      </c>
      <c r="D94" s="26" t="s">
        <v>337</v>
      </c>
      <c r="E94" s="26"/>
      <c r="F94" s="26">
        <v>11387</v>
      </c>
      <c r="G94" s="26" t="e">
        <v>#N/A</v>
      </c>
      <c r="H94" s="28">
        <v>490</v>
      </c>
      <c r="I94" s="27"/>
      <c r="J94" s="27"/>
      <c r="K94" s="27">
        <v>300</v>
      </c>
      <c r="L94" s="27">
        <v>0</v>
      </c>
      <c r="M94" s="27">
        <v>60</v>
      </c>
      <c r="N94" s="27" t="b">
        <v>1</v>
      </c>
      <c r="O94" s="27"/>
      <c r="P94" s="27"/>
      <c r="Q94" s="27"/>
    </row>
    <row r="95" spans="3:17">
      <c r="C95" s="26">
        <v>72</v>
      </c>
      <c r="D95" s="26" t="s">
        <v>338</v>
      </c>
      <c r="E95" s="26"/>
      <c r="F95" s="26">
        <v>11423</v>
      </c>
      <c r="G95" s="26" t="e">
        <v>#N/A</v>
      </c>
      <c r="H95" s="28">
        <v>450</v>
      </c>
      <c r="I95" s="27"/>
      <c r="J95" s="27"/>
      <c r="K95" s="27">
        <v>220</v>
      </c>
      <c r="L95" s="27">
        <v>0</v>
      </c>
      <c r="M95" s="27">
        <v>80</v>
      </c>
      <c r="N95" s="27" t="b">
        <v>1</v>
      </c>
      <c r="O95" s="27"/>
      <c r="P95" s="27"/>
      <c r="Q95" s="27"/>
    </row>
    <row r="96" spans="3:17">
      <c r="C96" s="26">
        <v>73</v>
      </c>
      <c r="D96" s="26" t="s">
        <v>339</v>
      </c>
      <c r="E96" s="26"/>
      <c r="F96" s="26">
        <v>8635</v>
      </c>
      <c r="G96" s="26" t="s">
        <v>256</v>
      </c>
      <c r="H96" s="28">
        <v>0</v>
      </c>
      <c r="I96" s="27"/>
      <c r="J96" s="27"/>
      <c r="K96" s="27">
        <v>100</v>
      </c>
      <c r="L96" s="27">
        <v>0</v>
      </c>
      <c r="M96" s="27">
        <v>0</v>
      </c>
      <c r="N96" s="27" t="b">
        <v>1</v>
      </c>
      <c r="O96" s="27"/>
      <c r="P96" s="27"/>
      <c r="Q96" s="27"/>
    </row>
    <row r="97" spans="3:17">
      <c r="C97" s="26">
        <v>74</v>
      </c>
      <c r="D97" s="26" t="s">
        <v>340</v>
      </c>
      <c r="E97" s="26"/>
      <c r="F97" s="26">
        <v>8650</v>
      </c>
      <c r="G97" s="26" t="s">
        <v>156</v>
      </c>
      <c r="H97" s="28">
        <v>2500</v>
      </c>
      <c r="I97" s="27"/>
      <c r="J97" s="27"/>
      <c r="K97" s="27">
        <v>1600</v>
      </c>
      <c r="L97" s="27">
        <v>0</v>
      </c>
      <c r="M97" s="27">
        <v>180</v>
      </c>
      <c r="N97" s="27" t="b">
        <v>1</v>
      </c>
      <c r="O97" s="27"/>
      <c r="P97" s="27"/>
      <c r="Q97" s="27"/>
    </row>
    <row r="98" spans="3:17">
      <c r="C98" s="26">
        <v>75</v>
      </c>
      <c r="D98" s="26" t="s">
        <v>341</v>
      </c>
      <c r="E98" s="26"/>
      <c r="F98" s="26">
        <v>8670</v>
      </c>
      <c r="G98" s="26" t="s">
        <v>194</v>
      </c>
      <c r="H98" s="28">
        <v>1000</v>
      </c>
      <c r="I98" s="27"/>
      <c r="J98" s="27"/>
      <c r="K98" s="27">
        <v>680</v>
      </c>
      <c r="L98" s="27">
        <v>0</v>
      </c>
      <c r="M98" s="27">
        <v>60</v>
      </c>
      <c r="N98" s="27" t="b">
        <v>1</v>
      </c>
      <c r="O98" s="27"/>
      <c r="P98" s="27"/>
      <c r="Q98" s="27"/>
    </row>
    <row r="99" spans="3:17">
      <c r="C99" s="26">
        <v>76</v>
      </c>
      <c r="D99" s="26" t="s">
        <v>342</v>
      </c>
      <c r="E99" s="26"/>
      <c r="F99" s="26">
        <v>7694</v>
      </c>
      <c r="G99" s="26" t="s">
        <v>185</v>
      </c>
      <c r="H99" s="28">
        <v>1500</v>
      </c>
      <c r="I99" s="27"/>
      <c r="J99" s="27"/>
      <c r="K99" s="27">
        <v>1180</v>
      </c>
      <c r="L99" s="27">
        <v>0</v>
      </c>
      <c r="M99" s="27">
        <v>0</v>
      </c>
      <c r="N99" s="27" t="b">
        <v>1</v>
      </c>
      <c r="O99" s="27"/>
      <c r="P99" s="27"/>
      <c r="Q99" s="27"/>
    </row>
    <row r="100" spans="3:17">
      <c r="C100" s="26">
        <v>77</v>
      </c>
      <c r="D100" s="26" t="s">
        <v>343</v>
      </c>
      <c r="E100" s="26"/>
      <c r="F100" s="26">
        <v>2623</v>
      </c>
      <c r="G100" s="26" t="s">
        <v>208</v>
      </c>
      <c r="H100" s="28">
        <v>750</v>
      </c>
      <c r="I100" s="27"/>
      <c r="J100" s="27"/>
      <c r="K100" s="27">
        <v>300</v>
      </c>
      <c r="L100" s="27">
        <v>0</v>
      </c>
      <c r="M100" s="27">
        <v>60</v>
      </c>
      <c r="N100" s="27" t="b">
        <v>1</v>
      </c>
      <c r="O100" s="27"/>
      <c r="P100" s="27"/>
      <c r="Q100" s="27"/>
    </row>
    <row r="101" spans="3:17">
      <c r="C101" s="26">
        <v>78</v>
      </c>
      <c r="D101" s="26" t="s">
        <v>344</v>
      </c>
      <c r="E101" s="26"/>
      <c r="F101" s="26">
        <v>8790</v>
      </c>
      <c r="G101" s="26" t="s">
        <v>145</v>
      </c>
      <c r="H101" s="28">
        <v>1500</v>
      </c>
      <c r="I101" s="27"/>
      <c r="J101" s="27"/>
      <c r="K101" s="27">
        <v>920</v>
      </c>
      <c r="L101" s="27">
        <v>0</v>
      </c>
      <c r="M101" s="27">
        <v>100</v>
      </c>
      <c r="N101" s="27" t="b">
        <v>1</v>
      </c>
      <c r="O101" s="27"/>
      <c r="P101" s="27"/>
      <c r="Q101" s="27"/>
    </row>
    <row r="102" spans="3:17">
      <c r="C102" s="26">
        <v>79</v>
      </c>
      <c r="D102" s="26" t="s">
        <v>345</v>
      </c>
      <c r="E102" s="26"/>
      <c r="F102" s="26">
        <v>8812</v>
      </c>
      <c r="G102" s="26" t="s">
        <v>293</v>
      </c>
      <c r="H102" s="28">
        <v>6760</v>
      </c>
      <c r="I102" s="27"/>
      <c r="J102" s="27"/>
      <c r="K102" s="27">
        <v>2780</v>
      </c>
      <c r="L102" s="27">
        <v>0</v>
      </c>
      <c r="M102" s="27">
        <v>240</v>
      </c>
      <c r="N102" s="27" t="b">
        <v>1</v>
      </c>
      <c r="O102" s="27"/>
      <c r="P102" s="27"/>
      <c r="Q102" s="27"/>
    </row>
    <row r="103" spans="3:17">
      <c r="C103" s="26">
        <v>80</v>
      </c>
      <c r="D103" s="26" t="s">
        <v>346</v>
      </c>
      <c r="E103" s="26"/>
      <c r="F103" s="26">
        <v>8870</v>
      </c>
      <c r="G103" s="26" t="s">
        <v>282</v>
      </c>
      <c r="H103" s="28">
        <v>3100</v>
      </c>
      <c r="I103" s="27"/>
      <c r="J103" s="27"/>
      <c r="K103" s="27">
        <v>1560</v>
      </c>
      <c r="L103" s="27">
        <v>0</v>
      </c>
      <c r="M103" s="27">
        <v>160</v>
      </c>
      <c r="N103" s="27" t="b">
        <v>1</v>
      </c>
      <c r="O103" s="27"/>
      <c r="P103" s="27"/>
      <c r="Q103" s="27"/>
    </row>
    <row r="104" spans="3:17">
      <c r="C104" s="26">
        <v>81</v>
      </c>
      <c r="D104" s="26" t="s">
        <v>347</v>
      </c>
      <c r="E104" s="26"/>
      <c r="F104" s="26">
        <v>11713</v>
      </c>
      <c r="G104" s="26" t="s">
        <v>285</v>
      </c>
      <c r="H104" s="28">
        <v>152</v>
      </c>
      <c r="I104" s="27"/>
      <c r="J104" s="27"/>
      <c r="K104" s="27">
        <v>0</v>
      </c>
      <c r="L104" s="27">
        <v>0</v>
      </c>
      <c r="M104" s="27">
        <v>100</v>
      </c>
      <c r="N104" s="27" t="b">
        <v>1</v>
      </c>
      <c r="O104" s="27"/>
      <c r="P104" s="27"/>
      <c r="Q104" s="27"/>
    </row>
    <row r="105" spans="3:17">
      <c r="C105" s="26">
        <v>82</v>
      </c>
      <c r="D105" s="26" t="s">
        <v>348</v>
      </c>
      <c r="E105" s="26"/>
      <c r="F105" s="26">
        <v>8920</v>
      </c>
      <c r="G105" s="26" t="s">
        <v>349</v>
      </c>
      <c r="H105" s="28">
        <v>2000</v>
      </c>
      <c r="I105" s="27"/>
      <c r="J105" s="27"/>
      <c r="K105" s="27">
        <v>1600</v>
      </c>
      <c r="L105" s="27">
        <v>0</v>
      </c>
      <c r="M105" s="27">
        <v>140</v>
      </c>
      <c r="N105" s="27" t="b">
        <v>1</v>
      </c>
      <c r="O105" s="27"/>
      <c r="P105" s="27"/>
      <c r="Q105" s="27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644D8-EC20-4790-82CC-7CE2133C4491}">
  <sheetPr codeName="Sheet11">
    <tabColor theme="9"/>
  </sheetPr>
  <dimension ref="A1:E2"/>
  <sheetViews>
    <sheetView zoomScale="85" zoomScaleNormal="85" workbookViewId="0"/>
  </sheetViews>
  <sheetFormatPr defaultRowHeight="15"/>
  <sheetData>
    <row r="1" spans="1:5" ht="19.5" thickBot="1">
      <c r="A1" s="1" t="s">
        <v>14</v>
      </c>
      <c r="B1" s="1"/>
      <c r="C1" s="1"/>
      <c r="D1" s="1"/>
      <c r="E1" s="1"/>
    </row>
    <row r="2" spans="1:5" ht="15.75" thickTop="1">
      <c r="A2" s="2" t="s">
        <v>15</v>
      </c>
      <c r="B2" s="2"/>
      <c r="C2" s="2"/>
      <c r="D2" s="2"/>
      <c r="E2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80210-5F39-43A5-88A6-1227F7FF3907}">
  <sheetPr codeName="Sheet12">
    <tabColor theme="9" tint="0.39997558519241921"/>
  </sheetPr>
  <dimension ref="A1:E2"/>
  <sheetViews>
    <sheetView zoomScale="85" zoomScaleNormal="85" workbookViewId="0"/>
  </sheetViews>
  <sheetFormatPr defaultRowHeight="15"/>
  <sheetData>
    <row r="1" spans="1:5" ht="19.5" thickBot="1">
      <c r="A1" s="1" t="s">
        <v>16</v>
      </c>
      <c r="B1" s="1"/>
      <c r="C1" s="1"/>
      <c r="D1" s="1"/>
      <c r="E1" s="1"/>
    </row>
    <row r="2" spans="1:5" ht="15.75" thickTop="1">
      <c r="A2" s="2" t="s">
        <v>17</v>
      </c>
      <c r="B2" s="2"/>
      <c r="C2" s="2"/>
      <c r="D2" s="2"/>
      <c r="E2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9DABC-4FD5-4EEE-81F9-164B13D635E4}">
  <sheetPr codeName="Sheet13">
    <tabColor theme="9" tint="0.39997558519241921"/>
  </sheetPr>
  <dimension ref="A1:E2"/>
  <sheetViews>
    <sheetView zoomScale="85" zoomScaleNormal="85" workbookViewId="0"/>
  </sheetViews>
  <sheetFormatPr defaultRowHeight="15"/>
  <sheetData>
    <row r="1" spans="1:5" ht="19.5" thickBot="1">
      <c r="A1" s="1" t="s">
        <v>18</v>
      </c>
      <c r="B1" s="1"/>
      <c r="C1" s="1"/>
      <c r="D1" s="1"/>
      <c r="E1" s="1"/>
    </row>
    <row r="2" spans="1:5" ht="15.75" thickTop="1">
      <c r="A2" s="2" t="s">
        <v>19</v>
      </c>
      <c r="B2" s="2"/>
      <c r="C2" s="2"/>
      <c r="D2" s="2"/>
      <c r="E2" s="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C4D5D-7D38-48F2-8C0C-DAFC3B2FBC72}">
  <sheetPr codeName="Sheet14">
    <tabColor theme="9" tint="0.39997558519241921"/>
  </sheetPr>
  <dimension ref="A1:E2"/>
  <sheetViews>
    <sheetView zoomScale="85" zoomScaleNormal="85" workbookViewId="0"/>
  </sheetViews>
  <sheetFormatPr defaultRowHeight="15"/>
  <sheetData>
    <row r="1" spans="1:5" ht="19.5" thickBot="1">
      <c r="A1" s="1" t="s">
        <v>20</v>
      </c>
      <c r="B1" s="1"/>
      <c r="C1" s="1"/>
      <c r="D1" s="1"/>
      <c r="E1" s="1"/>
    </row>
    <row r="2" spans="1:5" ht="15.75" thickTop="1">
      <c r="A2" s="2" t="s">
        <v>21</v>
      </c>
      <c r="B2" s="2"/>
      <c r="C2" s="2"/>
      <c r="D2" s="2"/>
      <c r="E2" s="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74F20-E9E4-4209-91DB-00041B7F53DC}">
  <sheetPr codeName="Sheet17">
    <tabColor theme="5"/>
  </sheetPr>
  <dimension ref="A1:E2"/>
  <sheetViews>
    <sheetView zoomScale="85" zoomScaleNormal="85" workbookViewId="0"/>
  </sheetViews>
  <sheetFormatPr defaultRowHeight="15"/>
  <sheetData>
    <row r="1" spans="1:5" ht="19.5" thickBot="1">
      <c r="A1" s="1" t="s">
        <v>25</v>
      </c>
      <c r="B1" s="1"/>
      <c r="C1" s="1"/>
      <c r="D1" s="1"/>
      <c r="E1" s="1"/>
    </row>
    <row r="2" spans="1:5" ht="15.75" thickTop="1">
      <c r="A2" s="2" t="s">
        <v>26</v>
      </c>
      <c r="B2" s="2"/>
      <c r="C2" s="2"/>
      <c r="D2" s="2"/>
      <c r="E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682FE-CAF7-4393-8A02-C894E9963077}">
  <sheetPr codeName="Sheet18">
    <tabColor theme="5" tint="0.39997558519241921"/>
  </sheetPr>
  <dimension ref="A1:E2"/>
  <sheetViews>
    <sheetView zoomScale="85" zoomScaleNormal="85" workbookViewId="0"/>
  </sheetViews>
  <sheetFormatPr defaultRowHeight="15"/>
  <sheetData>
    <row r="1" spans="1:5" ht="19.5" thickBot="1">
      <c r="A1" s="1" t="s">
        <v>27</v>
      </c>
      <c r="B1" s="1"/>
      <c r="C1" s="1"/>
      <c r="D1" s="1"/>
      <c r="E1" s="1"/>
    </row>
    <row r="2" spans="1:5" ht="15.75" thickTop="1">
      <c r="A2" s="2" t="s">
        <v>28</v>
      </c>
      <c r="B2" s="2"/>
      <c r="C2" s="2"/>
      <c r="D2" s="2"/>
      <c r="E2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3A7E5-7405-4C89-B30B-B5CE6740A616}">
  <sheetPr codeName="Sheet19">
    <tabColor theme="5" tint="0.39997558519241921"/>
  </sheetPr>
  <dimension ref="A1:E2"/>
  <sheetViews>
    <sheetView zoomScale="85" zoomScaleNormal="85" workbookViewId="0"/>
  </sheetViews>
  <sheetFormatPr defaultRowHeight="15"/>
  <sheetData>
    <row r="1" spans="1:5" ht="19.5" thickBot="1">
      <c r="A1" s="1" t="s">
        <v>29</v>
      </c>
      <c r="B1" s="1"/>
      <c r="C1" s="1"/>
      <c r="D1" s="1"/>
      <c r="E1" s="1"/>
    </row>
    <row r="2" spans="1:5" ht="15.75" thickTop="1">
      <c r="A2" s="2" t="s">
        <v>30</v>
      </c>
      <c r="B2" s="2"/>
      <c r="C2" s="2"/>
      <c r="D2" s="2"/>
      <c r="E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C5536-04BB-4575-8FE1-F5D083E69705}">
  <sheetPr codeName="Sheet8">
    <tabColor theme="6"/>
  </sheetPr>
  <dimension ref="A1:E2"/>
  <sheetViews>
    <sheetView zoomScale="85" zoomScaleNormal="85" workbookViewId="0"/>
  </sheetViews>
  <sheetFormatPr defaultRowHeight="15"/>
  <sheetData>
    <row r="1" spans="1:5" ht="19.5" thickBot="1">
      <c r="A1" s="1" t="s">
        <v>8</v>
      </c>
      <c r="B1" s="1"/>
      <c r="C1" s="1"/>
      <c r="D1" s="1"/>
      <c r="E1" s="1"/>
    </row>
    <row r="2" spans="1:5" ht="15.75" thickTop="1">
      <c r="A2" s="2" t="s">
        <v>9</v>
      </c>
      <c r="B2" s="2"/>
      <c r="C2" s="2"/>
      <c r="D2" s="2"/>
      <c r="E2" s="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870E6-AE96-4539-9E5B-33F1483D46F0}">
  <sheetPr codeName="Sheet9">
    <tabColor theme="6" tint="0.59999389629810485"/>
  </sheetPr>
  <dimension ref="A1:E2"/>
  <sheetViews>
    <sheetView zoomScale="85" zoomScaleNormal="85" workbookViewId="0"/>
  </sheetViews>
  <sheetFormatPr defaultRowHeight="15"/>
  <sheetData>
    <row r="1" spans="1:5" ht="19.5" thickBot="1">
      <c r="A1" s="1" t="s">
        <v>10</v>
      </c>
      <c r="B1" s="1"/>
      <c r="C1" s="1"/>
      <c r="D1" s="1"/>
      <c r="E1" s="1"/>
    </row>
    <row r="2" spans="1:5" ht="15.75" thickTop="1">
      <c r="A2" s="2" t="s">
        <v>11</v>
      </c>
      <c r="B2" s="2"/>
      <c r="C2" s="2"/>
      <c r="D2" s="2"/>
      <c r="E2" s="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4A58E-F57D-49A1-973D-863593E80B3B}">
  <sheetPr codeName="Sheet10">
    <tabColor theme="6" tint="0.59999389629810485"/>
  </sheetPr>
  <dimension ref="A1:E2"/>
  <sheetViews>
    <sheetView zoomScale="85" zoomScaleNormal="85" workbookViewId="0"/>
  </sheetViews>
  <sheetFormatPr defaultRowHeight="15"/>
  <sheetData>
    <row r="1" spans="1:5" ht="19.5" thickBot="1">
      <c r="A1" s="1" t="s">
        <v>12</v>
      </c>
      <c r="B1" s="1"/>
      <c r="C1" s="1"/>
      <c r="D1" s="1"/>
      <c r="E1" s="1"/>
    </row>
    <row r="2" spans="1:5" ht="15.75" thickTop="1">
      <c r="A2" s="2" t="s">
        <v>13</v>
      </c>
      <c r="B2" s="2"/>
      <c r="C2" s="2"/>
      <c r="D2" s="2"/>
      <c r="E2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Index</vt:lpstr>
      <vt:lpstr>Intro -&gt;</vt:lpstr>
      <vt:lpstr>About</vt:lpstr>
      <vt:lpstr>Reference</vt:lpstr>
      <vt:lpstr>Notes</vt:lpstr>
      <vt:lpstr>Changelog</vt:lpstr>
      <vt:lpstr>Inputs</vt:lpstr>
      <vt:lpstr>Data -&gt;</vt:lpstr>
      <vt:lpstr>Properties</vt:lpstr>
      <vt:lpstr>Metadata -&gt;</vt:lpstr>
      <vt:lpstr>Data Dictionary</vt:lpstr>
      <vt:lpstr>Data Model</vt:lpstr>
      <vt:lpstr>Glossary</vt:lpstr>
      <vt:lpstr>Data Sources -&gt;</vt:lpstr>
      <vt:lpstr>FFLIGHT Data</vt:lpstr>
      <vt:lpstr>DNR Pheasant Stocking Data</vt:lpstr>
      <vt:lpstr>Reference Data -&gt;</vt:lpstr>
      <vt:lpstr>Counties</vt:lpstr>
      <vt:lpstr>Stocking Providers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 Briggs</dc:creator>
  <cp:lastModifiedBy>Jimmy Briggs</cp:lastModifiedBy>
  <dcterms:created xsi:type="dcterms:W3CDTF">2023-10-10T19:20:44Z</dcterms:created>
  <dcterms:modified xsi:type="dcterms:W3CDTF">2023-10-10T21:17:08Z</dcterms:modified>
</cp:coreProperties>
</file>